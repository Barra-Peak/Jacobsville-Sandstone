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rapeak/Dropbox/Thermo-Detrital/Data/"/>
    </mc:Choice>
  </mc:AlternateContent>
  <xr:revisionPtr revIDLastSave="0" documentId="13_ncr:1_{055CEBA1-DA61-D34B-8A33-29C68BD90206}" xr6:coauthVersionLast="47" xr6:coauthVersionMax="47" xr10:uidLastSave="{00000000-0000-0000-0000-000000000000}"/>
  <bookViews>
    <workbookView xWindow="0" yWindow="500" windowWidth="28800" windowHeight="17500" activeTab="3" xr2:uid="{49683C1A-8E8D-334D-94C0-D06D01576E68}"/>
  </bookViews>
  <sheets>
    <sheet name="Data_1" sheetId="1" r:id="rId1"/>
    <sheet name="Data_2" sheetId="2" r:id="rId2"/>
    <sheet name="Data_3" sheetId="4" r:id="rId3"/>
    <sheet name="Data_A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3" l="1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I109" i="3" l="1"/>
  <c r="I103" i="3"/>
  <c r="I104" i="3"/>
  <c r="I105" i="3"/>
  <c r="I106" i="3"/>
  <c r="I107" i="3"/>
  <c r="I108" i="3"/>
  <c r="I102" i="3"/>
  <c r="J103" i="3"/>
  <c r="J104" i="3"/>
  <c r="J105" i="3"/>
  <c r="J106" i="3"/>
  <c r="J107" i="3"/>
  <c r="J108" i="3"/>
  <c r="J109" i="3"/>
  <c r="J83" i="3"/>
  <c r="J84" i="3"/>
  <c r="J85" i="3"/>
  <c r="J86" i="3"/>
  <c r="J87" i="3"/>
  <c r="J88" i="3"/>
  <c r="J89" i="3"/>
  <c r="K89" i="3" s="1"/>
  <c r="J90" i="3"/>
  <c r="J91" i="3"/>
  <c r="J92" i="3"/>
  <c r="K92" i="3" s="1"/>
  <c r="J93" i="3"/>
  <c r="J94" i="3"/>
  <c r="J95" i="3"/>
  <c r="J96" i="3"/>
  <c r="J97" i="3"/>
  <c r="J98" i="3"/>
  <c r="J99" i="3"/>
  <c r="J100" i="3"/>
  <c r="J101" i="3"/>
  <c r="J102" i="3"/>
  <c r="J55" i="3"/>
  <c r="J56" i="3"/>
  <c r="J57" i="3"/>
  <c r="J58" i="3"/>
  <c r="J59" i="3"/>
  <c r="J60" i="3"/>
  <c r="J61" i="3"/>
  <c r="J62" i="3"/>
  <c r="J63" i="3"/>
  <c r="J64" i="3"/>
  <c r="K64" i="3" s="1"/>
  <c r="J65" i="3"/>
  <c r="J66" i="3"/>
  <c r="J67" i="3"/>
  <c r="J68" i="3"/>
  <c r="J69" i="3"/>
  <c r="J70" i="3"/>
  <c r="J71" i="3"/>
  <c r="J72" i="3"/>
  <c r="J73" i="3"/>
  <c r="J74" i="3"/>
  <c r="J75" i="3"/>
  <c r="K75" i="3" s="1"/>
  <c r="J76" i="3"/>
  <c r="J77" i="3"/>
  <c r="J78" i="3"/>
  <c r="J79" i="3"/>
  <c r="J80" i="3"/>
  <c r="K80" i="3" s="1"/>
  <c r="J81" i="3"/>
  <c r="J82" i="3"/>
  <c r="K82" i="3" s="1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K12" i="3" s="1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K5" i="3" s="1"/>
  <c r="I5" i="3"/>
  <c r="J4" i="3"/>
  <c r="I4" i="3"/>
  <c r="J3" i="3"/>
  <c r="I3" i="3"/>
  <c r="J2" i="3"/>
  <c r="K2" i="3" s="1"/>
  <c r="I2" i="3"/>
  <c r="AG118" i="2"/>
  <c r="AG117" i="2"/>
  <c r="AG116" i="2"/>
  <c r="AG115" i="2"/>
  <c r="AG114" i="2"/>
  <c r="AG113" i="2"/>
  <c r="AG112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7" i="2"/>
  <c r="AG66" i="2"/>
  <c r="AG65" i="2"/>
  <c r="AG64" i="2"/>
  <c r="AG63" i="2"/>
  <c r="AG62" i="2"/>
  <c r="AG61" i="2"/>
  <c r="AG60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</calcChain>
</file>

<file path=xl/sharedStrings.xml><?xml version="1.0" encoding="utf-8"?>
<sst xmlns="http://schemas.openxmlformats.org/spreadsheetml/2006/main" count="974" uniqueCount="558">
  <si>
    <t>Final Pb207/U235_mean</t>
  </si>
  <si>
    <t>Final Pb207/U235_2SE(int)</t>
  </si>
  <si>
    <t>Final Pb206/U238_mean</t>
  </si>
  <si>
    <t>Final Pb206/U238_2SE(int)</t>
  </si>
  <si>
    <t>rho 206Pb/238U v 207Pb/235U</t>
  </si>
  <si>
    <t>% Concordance</t>
  </si>
  <si>
    <t>% Discordance</t>
  </si>
  <si>
    <t>Final Pb207/Pb206_mean</t>
  </si>
  <si>
    <t>Final Pb207/Pb206_2SE(int)</t>
  </si>
  <si>
    <t>Final U238/Pb206_mean</t>
  </si>
  <si>
    <t>Final U238/Pb206_2SE(int)</t>
  </si>
  <si>
    <t>Final U/Th_mean</t>
  </si>
  <si>
    <t>Final U/Th_2SE(int)</t>
  </si>
  <si>
    <t>rho 207Pb/206Pb v 238U/206Pb</t>
  </si>
  <si>
    <t>Final Pb206/U238 age_mean</t>
  </si>
  <si>
    <t>Final Pb206/U238 age_2SE(int)</t>
  </si>
  <si>
    <t>Final Pb207/Pb206 age_mean</t>
  </si>
  <si>
    <t>Final Pb207/Pb206 age_2SE(int)</t>
  </si>
  <si>
    <t>BP22_2_z2</t>
  </si>
  <si>
    <t>BP22_2_z2_1</t>
  </si>
  <si>
    <t>once picked, saw that the spot went through the grain</t>
  </si>
  <si>
    <t>BP22_2_z2_5</t>
  </si>
  <si>
    <t>BP22_2_z2_7</t>
  </si>
  <si>
    <t>BP22_2_z2_8</t>
  </si>
  <si>
    <t>broke during picking</t>
  </si>
  <si>
    <t>BP22_2_z2_10</t>
  </si>
  <si>
    <t>BP22_2_z2_12</t>
  </si>
  <si>
    <t>BP22_2_z2_15</t>
  </si>
  <si>
    <t>BP22_2_z2_17</t>
  </si>
  <si>
    <t>BP22_2_z2_21</t>
  </si>
  <si>
    <t>BP22_2_z2_22</t>
  </si>
  <si>
    <t>BP22_2_z2_24</t>
  </si>
  <si>
    <t>BP22_2_z2_26</t>
  </si>
  <si>
    <t>BP22_2_z2_27</t>
  </si>
  <si>
    <t>BP22_2_z2_28</t>
  </si>
  <si>
    <t>BP22_2_z2_29</t>
  </si>
  <si>
    <t>BP22_2_z2_31</t>
  </si>
  <si>
    <t>BP22_2_z2_33</t>
  </si>
  <si>
    <t>BP22_2_z2_34</t>
  </si>
  <si>
    <t>BP22_2_z2_35</t>
  </si>
  <si>
    <t>BP22_2_z2_39</t>
  </si>
  <si>
    <t>BP22_2_z2_41</t>
  </si>
  <si>
    <t>BP22_2_z2_43</t>
  </si>
  <si>
    <t>BP22_2_z2_45</t>
  </si>
  <si>
    <t>BP22_2_z2_49</t>
  </si>
  <si>
    <t>BP22_2_z2_50</t>
  </si>
  <si>
    <t>BP22_2_z2_51</t>
  </si>
  <si>
    <t>BP22_2_z2_52</t>
  </si>
  <si>
    <t>BP22_2_z2_53</t>
  </si>
  <si>
    <t>BP22_2_z2_55</t>
  </si>
  <si>
    <t>BP22_2_z2_56</t>
  </si>
  <si>
    <t>BP22_2_z2_59</t>
  </si>
  <si>
    <t>BP22_2_z2_60</t>
  </si>
  <si>
    <t>BP22_2_z2_62</t>
  </si>
  <si>
    <t>BP22_2_z2_63</t>
  </si>
  <si>
    <t>BP22_2_z2_65</t>
  </si>
  <si>
    <t>BP22_2_z2_66</t>
  </si>
  <si>
    <t>BP22_2_z2_69</t>
  </si>
  <si>
    <t>BP22_2_z2_71</t>
  </si>
  <si>
    <t>BP22_2_z2_73</t>
  </si>
  <si>
    <t>BP22_2_z2_74</t>
  </si>
  <si>
    <t>BP22_2_z2_76</t>
  </si>
  <si>
    <t>BP22_2_z2_77</t>
  </si>
  <si>
    <t>BP22_2_z2_81</t>
  </si>
  <si>
    <t>BP22_2_z2_83</t>
  </si>
  <si>
    <t>BP22_2_z2_85</t>
  </si>
  <si>
    <t>BP22_2_z2_86</t>
  </si>
  <si>
    <t>BP22_2_z2_87</t>
  </si>
  <si>
    <t>BP22_2_z2_89</t>
  </si>
  <si>
    <t>BP22_2_z2_91</t>
  </si>
  <si>
    <t>BP22_2_z2_92</t>
  </si>
  <si>
    <t>BP22_2_z2_93</t>
  </si>
  <si>
    <t>BP22_2_z2_94</t>
  </si>
  <si>
    <t>BP22_2_z2_95</t>
  </si>
  <si>
    <t>Spot Size (µm)</t>
  </si>
  <si>
    <t>Final Pb207/U235 age_mean</t>
  </si>
  <si>
    <t>Final Pb207/U235 age_2SE(int)</t>
  </si>
  <si>
    <t>Final Pb208/Th232_mean</t>
  </si>
  <si>
    <t>Final Pb208/Th232_2SE(int)</t>
  </si>
  <si>
    <t>Final Pb208/Th232 age_mean</t>
  </si>
  <si>
    <t>Final Pb208/Th232 age_2SE(int)</t>
  </si>
  <si>
    <t>Approx_U_PPM_mean</t>
  </si>
  <si>
    <t>Approx_U_PPM_2SE(int)</t>
  </si>
  <si>
    <t>Approx_Th_PPM_mean</t>
  </si>
  <si>
    <t>Approx_Th_PPM_2SE(int)</t>
  </si>
  <si>
    <t>Approx_Pb_PPM_mean</t>
  </si>
  <si>
    <t>Approx_Pb_PPM_2SE(int)</t>
  </si>
  <si>
    <t>Discordance</t>
  </si>
  <si>
    <t>BP22_02</t>
  </si>
  <si>
    <t>BP22_02_5_2</t>
  </si>
  <si>
    <t>50</t>
  </si>
  <si>
    <t>BP22_02_5_3</t>
  </si>
  <si>
    <t>BP22_02_5_4</t>
  </si>
  <si>
    <t>BP22_02_5_6</t>
  </si>
  <si>
    <t>BP22_02_5_8</t>
  </si>
  <si>
    <t>BP22_02_5_9</t>
  </si>
  <si>
    <t>BP22_02_5_11</t>
  </si>
  <si>
    <t>BP22_02_5_17</t>
  </si>
  <si>
    <t>BP22_02_5_20</t>
  </si>
  <si>
    <t>BP22_02_5_21</t>
  </si>
  <si>
    <t>BP22_02_5_22</t>
  </si>
  <si>
    <t>BP22_02_5_28</t>
  </si>
  <si>
    <t>BP22_02_5_29</t>
  </si>
  <si>
    <t>BP22_02_5_30</t>
  </si>
  <si>
    <t>BP22_02_5_32</t>
  </si>
  <si>
    <t>BP22_02_5_39</t>
  </si>
  <si>
    <t>BP22_02_5_40</t>
  </si>
  <si>
    <t>BP22_02_5_41</t>
  </si>
  <si>
    <t>BP22_02_5_42</t>
  </si>
  <si>
    <t>BP22_02_5_45</t>
  </si>
  <si>
    <t>BP22_02_5_47</t>
  </si>
  <si>
    <t>BP22_02_5_49</t>
  </si>
  <si>
    <t>BP22_02_5_51</t>
  </si>
  <si>
    <t>BP22_02_5_52</t>
  </si>
  <si>
    <t>BP22_02_5_57</t>
  </si>
  <si>
    <t>BP22_02_5_58</t>
  </si>
  <si>
    <t>BP22_02_5_60</t>
  </si>
  <si>
    <t>BP22_02_5_63</t>
  </si>
  <si>
    <t>BP22_02_5_64</t>
  </si>
  <si>
    <t>BP22_02_5_70</t>
  </si>
  <si>
    <t>BP22_02_5_73</t>
  </si>
  <si>
    <t>BP22_02_5_76</t>
  </si>
  <si>
    <t>BP22_02_5_78</t>
  </si>
  <si>
    <t>BP22_02_5_87</t>
  </si>
  <si>
    <t>BP22_02_5_89</t>
  </si>
  <si>
    <t>BP22_02_5_91</t>
  </si>
  <si>
    <t>BP22_02_5_95</t>
  </si>
  <si>
    <t>BP22_02_5_96</t>
  </si>
  <si>
    <t>BP22_02_5_97</t>
  </si>
  <si>
    <t>BP22_02_5_99</t>
  </si>
  <si>
    <t>BP22_02_5_102</t>
  </si>
  <si>
    <t>BP22_02_5_103</t>
  </si>
  <si>
    <t>BP22_02_5_107</t>
  </si>
  <si>
    <t>BP22_02_5_110</t>
  </si>
  <si>
    <t>BP22_02_5_112</t>
  </si>
  <si>
    <t>BP22_02_5_113</t>
  </si>
  <si>
    <t>BP22_02_5_114</t>
  </si>
  <si>
    <t>BP22_02_5_115</t>
  </si>
  <si>
    <t>BP22_02_5_119</t>
  </si>
  <si>
    <t>BP22_02_5_122</t>
  </si>
  <si>
    <t>BP22_02_5_126</t>
  </si>
  <si>
    <t>BP22_02_5_129</t>
  </si>
  <si>
    <t>BP22_02_5_134</t>
  </si>
  <si>
    <t>BP22_02_5_135</t>
  </si>
  <si>
    <t>BP22_02_5_136</t>
  </si>
  <si>
    <t>G_NIST610</t>
  </si>
  <si>
    <t>NIST 610 - 1</t>
  </si>
  <si>
    <t>NIST 610 - 2</t>
  </si>
  <si>
    <t>NIST 610 - 3</t>
  </si>
  <si>
    <t>NIST 610 - 4</t>
  </si>
  <si>
    <t>NIST 610 - 5</t>
  </si>
  <si>
    <t>NIST 610 - 6</t>
  </si>
  <si>
    <t>NIST 610 - 7</t>
  </si>
  <si>
    <t>NIST 610 - 8</t>
  </si>
  <si>
    <t>RAK-17</t>
  </si>
  <si>
    <t>RAK 17 - 9</t>
  </si>
  <si>
    <t>RAK 17 - 10</t>
  </si>
  <si>
    <t>RAK 17 - 1</t>
  </si>
  <si>
    <t>RAK 17 - 2</t>
  </si>
  <si>
    <t>RAK 17 - 3</t>
  </si>
  <si>
    <t>RAK 17 - 4</t>
  </si>
  <si>
    <t>RAK 17 - 5</t>
  </si>
  <si>
    <t>RAK 17 - 6</t>
  </si>
  <si>
    <t>RAK 17 - 7</t>
  </si>
  <si>
    <t>RAK 17 - 8</t>
  </si>
  <si>
    <t>RAK 17 - 11</t>
  </si>
  <si>
    <t>RAK 17 - 12</t>
  </si>
  <si>
    <t>RAK 17 - 13</t>
  </si>
  <si>
    <t>RAK 17 - 14</t>
  </si>
  <si>
    <t>RAK 17 - 15</t>
  </si>
  <si>
    <t>RAK 17 - 16</t>
  </si>
  <si>
    <t>Z_91500</t>
  </si>
  <si>
    <t>91500 - 1</t>
  </si>
  <si>
    <t>91500 - 2</t>
  </si>
  <si>
    <t>91500 - 3</t>
  </si>
  <si>
    <t>91500 - 4</t>
  </si>
  <si>
    <t>91500 - 5</t>
  </si>
  <si>
    <t>91500 - 6</t>
  </si>
  <si>
    <t>91500 - 7</t>
  </si>
  <si>
    <t>91500 - 8</t>
  </si>
  <si>
    <t>91500 - 10</t>
  </si>
  <si>
    <t>91500 - 11</t>
  </si>
  <si>
    <t>91500 - 13</t>
  </si>
  <si>
    <t>91500 - 14</t>
  </si>
  <si>
    <t>91500 - 15</t>
  </si>
  <si>
    <t>91500 - 16</t>
  </si>
  <si>
    <t>91500 - 17</t>
  </si>
  <si>
    <t>91500 - 18</t>
  </si>
  <si>
    <t>91500 - 19</t>
  </si>
  <si>
    <t>91500 - 20</t>
  </si>
  <si>
    <t>91500 - 21</t>
  </si>
  <si>
    <t>91500 - 24</t>
  </si>
  <si>
    <t>91500 - 22</t>
  </si>
  <si>
    <t>91500 - 23</t>
  </si>
  <si>
    <t>Z_Temora2</t>
  </si>
  <si>
    <t>Temora 2 - 5</t>
  </si>
  <si>
    <t>Temora 2 - 1</t>
  </si>
  <si>
    <t>Temora 2 - 2</t>
  </si>
  <si>
    <t>Temora 2 - 3</t>
  </si>
  <si>
    <t>Temora 2 - 4</t>
  </si>
  <si>
    <t>Temora 2 - 6</t>
  </si>
  <si>
    <t>Temora 2 - 7</t>
  </si>
  <si>
    <t>Sample</t>
  </si>
  <si>
    <t>Run</t>
  </si>
  <si>
    <t>Spot_Size</t>
  </si>
  <si>
    <t>Grain</t>
  </si>
  <si>
    <t>z001</t>
  </si>
  <si>
    <t>z005</t>
  </si>
  <si>
    <t>z007</t>
  </si>
  <si>
    <t>z008</t>
  </si>
  <si>
    <t>z010</t>
  </si>
  <si>
    <t>z012</t>
  </si>
  <si>
    <t>z015</t>
  </si>
  <si>
    <t>z017</t>
  </si>
  <si>
    <t>z021</t>
  </si>
  <si>
    <t>z022</t>
  </si>
  <si>
    <t>z024</t>
  </si>
  <si>
    <t>z026</t>
  </si>
  <si>
    <t>z027</t>
  </si>
  <si>
    <t>z028</t>
  </si>
  <si>
    <t>z029</t>
  </si>
  <si>
    <t>z031</t>
  </si>
  <si>
    <t>z033</t>
  </si>
  <si>
    <t>z034</t>
  </si>
  <si>
    <t>z035</t>
  </si>
  <si>
    <t>z039</t>
  </si>
  <si>
    <t>z041</t>
  </si>
  <si>
    <t>z043</t>
  </si>
  <si>
    <t>z045</t>
  </si>
  <si>
    <t>z049</t>
  </si>
  <si>
    <t>z050</t>
  </si>
  <si>
    <t>z051</t>
  </si>
  <si>
    <t>z052</t>
  </si>
  <si>
    <t>z053</t>
  </si>
  <si>
    <t>z055</t>
  </si>
  <si>
    <t>z056</t>
  </si>
  <si>
    <t>z059</t>
  </si>
  <si>
    <t>z060</t>
  </si>
  <si>
    <t>z062</t>
  </si>
  <si>
    <t>z063</t>
  </si>
  <si>
    <t>z065</t>
  </si>
  <si>
    <t>z066</t>
  </si>
  <si>
    <t>z069</t>
  </si>
  <si>
    <t>z071</t>
  </si>
  <si>
    <t>z073</t>
  </si>
  <si>
    <t>z074</t>
  </si>
  <si>
    <t>z076</t>
  </si>
  <si>
    <t>z077</t>
  </si>
  <si>
    <t>z081</t>
  </si>
  <si>
    <t>z083</t>
  </si>
  <si>
    <t>z085</t>
  </si>
  <si>
    <t>z086</t>
  </si>
  <si>
    <t>z087</t>
  </si>
  <si>
    <t>z089</t>
  </si>
  <si>
    <t>z091</t>
  </si>
  <si>
    <t>z092</t>
  </si>
  <si>
    <t>z093</t>
  </si>
  <si>
    <t>z094</t>
  </si>
  <si>
    <t>z095</t>
  </si>
  <si>
    <t>z102</t>
  </si>
  <si>
    <t>z103</t>
  </si>
  <si>
    <t>z107</t>
  </si>
  <si>
    <t>z110</t>
  </si>
  <si>
    <t>z112</t>
  </si>
  <si>
    <t>z113</t>
  </si>
  <si>
    <t>z114</t>
  </si>
  <si>
    <t>z115</t>
  </si>
  <si>
    <t>z119</t>
  </si>
  <si>
    <t>z122</t>
  </si>
  <si>
    <t>z126</t>
  </si>
  <si>
    <t>z129</t>
  </si>
  <si>
    <t>z134</t>
  </si>
  <si>
    <t>z135</t>
  </si>
  <si>
    <t>z136</t>
  </si>
  <si>
    <t>Discordance ± 10</t>
  </si>
  <si>
    <t>BP22_02_6_3</t>
  </si>
  <si>
    <t>BP22_02_6_4</t>
  </si>
  <si>
    <t>BP22_02_6_5</t>
  </si>
  <si>
    <t>BP22_02_6_6</t>
  </si>
  <si>
    <t>BP22_02_6_7</t>
  </si>
  <si>
    <t>BP22_02_6_8</t>
  </si>
  <si>
    <t>BP22_02_6_9</t>
  </si>
  <si>
    <t>BP22_02_6_10</t>
  </si>
  <si>
    <t>BP22_02_6_11</t>
  </si>
  <si>
    <t>BP22_02_6_14</t>
  </si>
  <si>
    <t>BP22_02_6_15</t>
  </si>
  <si>
    <t>BP22_02_6_16</t>
  </si>
  <si>
    <t>BP22_02_6_17</t>
  </si>
  <si>
    <t>BP22_02_6_18</t>
  </si>
  <si>
    <t>BP22_02_6_19</t>
  </si>
  <si>
    <t>BP22_02_6_20</t>
  </si>
  <si>
    <t>BP22_02_6_21</t>
  </si>
  <si>
    <t>BP22_02_6_22</t>
  </si>
  <si>
    <t>BP22_02_6_23</t>
  </si>
  <si>
    <t>BP22_02_6_25</t>
  </si>
  <si>
    <t>BP22_02_6_26</t>
  </si>
  <si>
    <t>BP22_02_6_28</t>
  </si>
  <si>
    <t>BP22_02_6_29</t>
  </si>
  <si>
    <t>BP22_02_6_30</t>
  </si>
  <si>
    <t>BP22_02_6_38</t>
  </si>
  <si>
    <t>BP22_02_6_41</t>
  </si>
  <si>
    <t>BP22_02_6_42</t>
  </si>
  <si>
    <t>BP22_02_6_43</t>
  </si>
  <si>
    <t>BP22_02_6_44</t>
  </si>
  <si>
    <t>BP22_02_6_47</t>
  </si>
  <si>
    <t>BP22_02_6_48</t>
  </si>
  <si>
    <t>BP22_02_6_50</t>
  </si>
  <si>
    <t>BP22_02_6_51</t>
  </si>
  <si>
    <t>BP22_02_6_52</t>
  </si>
  <si>
    <t>BP22_02_6_54</t>
  </si>
  <si>
    <t>BP22_02_6_56</t>
  </si>
  <si>
    <t>BP22_02_6_58</t>
  </si>
  <si>
    <t>BP22_02_6_59</t>
  </si>
  <si>
    <t>BP22_02_6_60</t>
  </si>
  <si>
    <t>BP22_02_6_61</t>
  </si>
  <si>
    <t>BP22_02_6_62</t>
  </si>
  <si>
    <t>BP22_02_6_63</t>
  </si>
  <si>
    <t>BP22_02_6_64</t>
  </si>
  <si>
    <t>BP22_02_6_67</t>
  </si>
  <si>
    <t>BP22_02_6_68</t>
  </si>
  <si>
    <t>BP22_02_6_69</t>
  </si>
  <si>
    <t>BP22_02_6_71</t>
  </si>
  <si>
    <t>BP22_02_6_72</t>
  </si>
  <si>
    <t>BP22_02_6_73</t>
  </si>
  <si>
    <t>BP22_02_6_74</t>
  </si>
  <si>
    <t>BP22_02_6_75</t>
  </si>
  <si>
    <t>Final Pb206/U238_2SE(prop)</t>
  </si>
  <si>
    <t>Final Pb206/U238 age_2SE(prop)</t>
  </si>
  <si>
    <t>Final Pb207/U235_2SE(prop)</t>
  </si>
  <si>
    <t>Final Pb207/U235 age_2SE(prop)</t>
  </si>
  <si>
    <t>Final Pb208/Th232_2SE(prop)</t>
  </si>
  <si>
    <t>Final Pb208/Th232 age_2SE(prop)</t>
  </si>
  <si>
    <t>Final Pb207/Pb206_2SE(prop)</t>
  </si>
  <si>
    <t>Final Pb207/Pb206 age_2SE(prop)</t>
  </si>
  <si>
    <t>Final U238/Pb206_2SE(prop)</t>
  </si>
  <si>
    <t>BP22_02_6</t>
  </si>
  <si>
    <t>BP22_02_6_1</t>
  </si>
  <si>
    <t>BP22_02_6_2</t>
  </si>
  <si>
    <t/>
  </si>
  <si>
    <t>BP22_02_6_12</t>
  </si>
  <si>
    <t>BP22_02_6_24</t>
  </si>
  <si>
    <t>BP22_02_6_31</t>
  </si>
  <si>
    <t>BP22_02_6_32</t>
  </si>
  <si>
    <t>BP22_02_6_33</t>
  </si>
  <si>
    <t>BP22_02_6_34</t>
  </si>
  <si>
    <t>BP22_02_6_35</t>
  </si>
  <si>
    <t>BP22_02_6_36</t>
  </si>
  <si>
    <t>BP22_02_6_37</t>
  </si>
  <si>
    <t>BP22_02_6_40</t>
  </si>
  <si>
    <t>BP22_02_6_45</t>
  </si>
  <si>
    <t>BP22_02_6_49</t>
  </si>
  <si>
    <t>BP22_02_6_53</t>
  </si>
  <si>
    <t>BP22_02_6_55</t>
  </si>
  <si>
    <t>BP22_02_6_65</t>
  </si>
  <si>
    <t>BP22_02_6_66</t>
  </si>
  <si>
    <t>BP22_02_6_70</t>
  </si>
  <si>
    <t>BP22_02_6_76</t>
  </si>
  <si>
    <t>BP22_02_6_77</t>
  </si>
  <si>
    <t>NIST 610_1</t>
  </si>
  <si>
    <t>NIST 610_17</t>
  </si>
  <si>
    <t>NIST 610_18</t>
  </si>
  <si>
    <t>NIST 610_2</t>
  </si>
  <si>
    <t>NIST 610_3</t>
  </si>
  <si>
    <t>NIST 610_20</t>
  </si>
  <si>
    <t>NIST 610_4</t>
  </si>
  <si>
    <t>NIST 610_5</t>
  </si>
  <si>
    <t>NIST 610_16</t>
  </si>
  <si>
    <t>NIST 610_15</t>
  </si>
  <si>
    <t>NIST 610_14</t>
  </si>
  <si>
    <t>NIST 610_13</t>
  </si>
  <si>
    <t>NIST 610_12</t>
  </si>
  <si>
    <t>NIST 610_11</t>
  </si>
  <si>
    <t>NIST 610_10</t>
  </si>
  <si>
    <t>NIST 610_9</t>
  </si>
  <si>
    <t>NIST 610_8</t>
  </si>
  <si>
    <t>NIST 610_19</t>
  </si>
  <si>
    <t>NIST 610_6</t>
  </si>
  <si>
    <t>NIST 610_7</t>
  </si>
  <si>
    <t>HFO</t>
  </si>
  <si>
    <t>HFO - 32</t>
  </si>
  <si>
    <t>HFO - 33</t>
  </si>
  <si>
    <t>HFO - 34</t>
  </si>
  <si>
    <t>HFO - 29</t>
  </si>
  <si>
    <t>HFO - 28</t>
  </si>
  <si>
    <t>HFO - 27</t>
  </si>
  <si>
    <t>HFO - 1</t>
  </si>
  <si>
    <t>HFO - 2</t>
  </si>
  <si>
    <t>HFO - 3</t>
  </si>
  <si>
    <t>HFO - 4</t>
  </si>
  <si>
    <t>HFO - 5</t>
  </si>
  <si>
    <t>HFO - 6</t>
  </si>
  <si>
    <t>HFO - 7</t>
  </si>
  <si>
    <t>HFO - 8</t>
  </si>
  <si>
    <t>HFO - 9</t>
  </si>
  <si>
    <t>HFO - 10</t>
  </si>
  <si>
    <t>HFO - 11</t>
  </si>
  <si>
    <t>HFO - 12</t>
  </si>
  <si>
    <t>HFO - 13</t>
  </si>
  <si>
    <t>HFO - 14</t>
  </si>
  <si>
    <t>HFO - 15</t>
  </si>
  <si>
    <t>HFO - 16</t>
  </si>
  <si>
    <t>HFO - 17</t>
  </si>
  <si>
    <t>HFO - 18</t>
  </si>
  <si>
    <t>HFO - 19</t>
  </si>
  <si>
    <t>HFO - 20</t>
  </si>
  <si>
    <t>HFO - 21</t>
  </si>
  <si>
    <t>HFO - 22</t>
  </si>
  <si>
    <t>HFO - 23</t>
  </si>
  <si>
    <t>HFO - 24</t>
  </si>
  <si>
    <t>HFO - 25</t>
  </si>
  <si>
    <t>HFO - 26</t>
  </si>
  <si>
    <t>HFO - 35</t>
  </si>
  <si>
    <t>HFO - 36</t>
  </si>
  <si>
    <t>HFO - 37</t>
  </si>
  <si>
    <t>HFO - 30</t>
  </si>
  <si>
    <t>HFO - 31</t>
  </si>
  <si>
    <t>HFO - 38</t>
  </si>
  <si>
    <t>HFO - 39</t>
  </si>
  <si>
    <t>HFO - 40</t>
  </si>
  <si>
    <t>RAK17_1</t>
  </si>
  <si>
    <t>RAK17_2</t>
  </si>
  <si>
    <t>RAK17_3</t>
  </si>
  <si>
    <t>RAK17_4</t>
  </si>
  <si>
    <t>RAK17_5</t>
  </si>
  <si>
    <t>RAK17_6</t>
  </si>
  <si>
    <t>RAK17_7</t>
  </si>
  <si>
    <t>RAK17_8</t>
  </si>
  <si>
    <t>RAK17_9</t>
  </si>
  <si>
    <t>RAK17_10</t>
  </si>
  <si>
    <t>RAK17_12</t>
  </si>
  <si>
    <t>RAK17_13</t>
  </si>
  <si>
    <t>RAK17_14</t>
  </si>
  <si>
    <t>RAK17_15</t>
  </si>
  <si>
    <t>RAK17_16</t>
  </si>
  <si>
    <t>RAK17_17</t>
  </si>
  <si>
    <t>RAK17_18</t>
  </si>
  <si>
    <t>RAK17_20</t>
  </si>
  <si>
    <t>RAK17_19</t>
  </si>
  <si>
    <t>RAK17_21</t>
  </si>
  <si>
    <t>RAK17_22</t>
  </si>
  <si>
    <t>91500_1</t>
  </si>
  <si>
    <t>91500_2</t>
  </si>
  <si>
    <t>91500_3</t>
  </si>
  <si>
    <t>91500_4</t>
  </si>
  <si>
    <t>91500_5</t>
  </si>
  <si>
    <t>91500_6</t>
  </si>
  <si>
    <t>91500_7</t>
  </si>
  <si>
    <t>91500_8</t>
  </si>
  <si>
    <t>91500_9</t>
  </si>
  <si>
    <t>91500_10</t>
  </si>
  <si>
    <t>91500_11</t>
  </si>
  <si>
    <t>91500_12</t>
  </si>
  <si>
    <t>91500_13</t>
  </si>
  <si>
    <t>91500_14</t>
  </si>
  <si>
    <t>91500_15</t>
  </si>
  <si>
    <t>91500_16</t>
  </si>
  <si>
    <t>91500_17</t>
  </si>
  <si>
    <t>91500_18</t>
  </si>
  <si>
    <t>91500_19</t>
  </si>
  <si>
    <t>91500_20</t>
  </si>
  <si>
    <t>91500_21</t>
  </si>
  <si>
    <t>91500_22</t>
  </si>
  <si>
    <t>91500_23</t>
  </si>
  <si>
    <t>91500_24</t>
  </si>
  <si>
    <t>91500_25</t>
  </si>
  <si>
    <t>91500_26</t>
  </si>
  <si>
    <t>91500_27</t>
  </si>
  <si>
    <t>91500_28</t>
  </si>
  <si>
    <t>91500_33</t>
  </si>
  <si>
    <t>91500_29</t>
  </si>
  <si>
    <t>91500_32</t>
  </si>
  <si>
    <t>91500_30</t>
  </si>
  <si>
    <t>91500_31</t>
  </si>
  <si>
    <t>91500_34</t>
  </si>
  <si>
    <t>91500_35</t>
  </si>
  <si>
    <t>91500_36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</si>
  <si>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</si>
  <si>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</si>
  <si>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</si>
  <si>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</si>
  <si>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</si>
  <si>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</si>
  <si>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</si>
  <si>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</si>
  <si>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</si>
  <si>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</si>
  <si>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</si>
  <si>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</si>
  <si>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</si>
  <si>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</si>
  <si>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</si>
  <si>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</si>
  <si>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</si>
  <si>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</si>
  <si>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</si>
  <si>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</si>
  <si>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</si>
  <si>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</si>
  <si>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</si>
  <si>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</si>
  <si>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</si>
  <si>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</si>
  <si>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</si>
  <si>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</si>
  <si>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</si>
  <si>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</si>
  <si>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</si>
  <si>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</si>
  <si>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</si>
  <si>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</si>
  <si>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</si>
  <si>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</si>
  <si>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z40</t>
  </si>
  <si>
    <t>z41</t>
  </si>
  <si>
    <t>z42</t>
  </si>
  <si>
    <t>z43</t>
  </si>
  <si>
    <t>z44</t>
  </si>
  <si>
    <t>z45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</si>
  <si>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</si>
  <si>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</si>
  <si>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</si>
  <si>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</si>
  <si>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</si>
  <si>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</si>
  <si>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</si>
  <si>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</si>
  <si>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</si>
  <si>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</si>
  <si>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</si>
  <si>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</si>
  <si>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</si>
  <si>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</si>
  <si>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</si>
  <si>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</si>
  <si>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</si>
  <si>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</si>
  <si>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</si>
  <si>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</si>
  <si>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</si>
  <si>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</si>
  <si>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</si>
  <si>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</si>
  <si>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</si>
  <si>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</si>
  <si>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</si>
  <si>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</si>
  <si>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</si>
  <si>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</si>
  <si>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z39</t>
  </si>
  <si>
    <t>z57</t>
  </si>
  <si>
    <t>z78</t>
  </si>
  <si>
    <t>z87</t>
  </si>
  <si>
    <t>z89</t>
  </si>
  <si>
    <t>z91</t>
  </si>
  <si>
    <t>z95</t>
  </si>
  <si>
    <t>z96</t>
  </si>
  <si>
    <t>z97</t>
  </si>
  <si>
    <t>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</si>
</sst>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Font="1"/>
    <xf numFmtId="0" fontId="7" fillId="2" borderId="0" xfId="1" applyFont="1" applyFill="1"/>
    <xf numFmtId="0" fontId="6" fillId="0" borderId="0" xfId="1"/>
    <xf numFmtId="0" fontId="6" fillId="2" borderId="0" xfId="1" applyFill="1"/>
    <xf numFmtId="0" fontId="6" fillId="4" borderId="0" xfId="1" applyFill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1" applyAlignment="1">
      <alignment horizontal="center"/>
    </xf>
    <xf numFmtId="0" fontId="6" fillId="2" borderId="0" xfId="1" applyFill="1" applyAlignment="1">
      <alignment horizontal="center"/>
    </xf>
    <xf numFmtId="0" fontId="6" fillId="3" borderId="0" xfId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945E9EB8-27B6-D34C-8A60-1DB5F5B35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29</xdr:row>
      <xdr:rowOff>28575</xdr:rowOff>
    </xdr:from>
    <xdr:ext cx="73327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1C7A7-7F59-9040-92D0-2761027538E4}"/>
            </a:ext>
          </a:extLst>
        </xdr:cNvPr>
        <xdr:cNvSpPr txBox="1"/>
      </xdr:nvSpPr>
      <xdr:spPr>
        <a:xfrm>
          <a:off x="14547850" y="5553075"/>
          <a:ext cx="7332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  <a:r>
            <a:rPr lang="en-US" sz="1100" baseline="0"/>
            <a:t> = 53/53</a:t>
          </a:r>
          <a:endParaRPr lang="en-US" sz="1100"/>
        </a:p>
      </xdr:txBody>
    </xdr:sp>
    <xdr:clientData/>
  </xdr:oneCellAnchor>
  <xdr:oneCellAnchor>
    <xdr:from>
      <xdr:col>12</xdr:col>
      <xdr:colOff>333375</xdr:colOff>
      <xdr:row>6</xdr:row>
      <xdr:rowOff>161925</xdr:rowOff>
    </xdr:from>
    <xdr:ext cx="145719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0415F1-0595-1842-8796-FC1182C769C6}"/>
            </a:ext>
          </a:extLst>
        </xdr:cNvPr>
        <xdr:cNvSpPr txBox="1"/>
      </xdr:nvSpPr>
      <xdr:spPr>
        <a:xfrm>
          <a:off x="16094075" y="1304925"/>
          <a:ext cx="14571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10% discordance filter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C030-B405-A84C-BBB2-DCABAFA24DAA}">
  <dimension ref="A1:AD109"/>
  <sheetViews>
    <sheetView showRuler="0" zoomScaleNormal="100" workbookViewId="0">
      <selection activeCell="D3" sqref="D3"/>
    </sheetView>
  </sheetViews>
  <sheetFormatPr baseColWidth="10" defaultColWidth="9.1640625" defaultRowHeight="15" x14ac:dyDescent="0.2"/>
  <cols>
    <col min="1" max="1" width="20.5" style="11" customWidth="1"/>
    <col min="2" max="2" width="22.6640625" style="12" bestFit="1" customWidth="1"/>
    <col min="3" max="3" width="9.1640625" style="12"/>
    <col min="4" max="4" width="22.6640625" style="12" bestFit="1" customWidth="1"/>
    <col min="5" max="5" width="24.5" style="12" bestFit="1" customWidth="1"/>
    <col min="6" max="6" width="28" style="12" bestFit="1" customWidth="1"/>
    <col min="7" max="7" width="14.5" style="1" bestFit="1" customWidth="1"/>
    <col min="8" max="8" width="14.5" style="3" customWidth="1"/>
    <col min="9" max="9" width="23.5" style="11" bestFit="1" customWidth="1"/>
    <col min="10" max="10" width="9.1640625" style="11"/>
    <col min="13" max="16" width="9.1640625" style="11"/>
    <col min="17" max="17" width="20" style="11" bestFit="1" customWidth="1"/>
    <col min="19" max="19" width="9.1640625" style="11"/>
    <col min="21" max="21" width="28.83203125" style="11" bestFit="1" customWidth="1"/>
    <col min="22" max="23" width="9.1640625" style="11"/>
    <col min="24" max="24" width="26.5" style="12" bestFit="1" customWidth="1"/>
    <col min="25" max="25" width="28.33203125" style="11" bestFit="1" customWidth="1"/>
    <col min="26" max="26" width="9.1640625" style="11"/>
    <col min="27" max="27" width="27.33203125" style="12" bestFit="1" customWidth="1"/>
    <col min="28" max="28" width="29.1640625" style="11" bestFit="1" customWidth="1"/>
    <col min="29" max="29" width="22" style="14" bestFit="1" customWidth="1"/>
    <col min="30" max="30" width="8.83203125" customWidth="1"/>
    <col min="31" max="16384" width="9.1640625" style="11"/>
  </cols>
  <sheetData>
    <row r="1" spans="1:30" s="1" customFormat="1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3" t="s">
        <v>6</v>
      </c>
      <c r="I1" s="1" t="s">
        <v>7</v>
      </c>
      <c r="J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U1" s="1" t="s">
        <v>13</v>
      </c>
      <c r="X1" s="2" t="s">
        <v>14</v>
      </c>
      <c r="Y1" s="1" t="s">
        <v>15</v>
      </c>
      <c r="AA1" s="2" t="s">
        <v>16</v>
      </c>
      <c r="AB1" s="1" t="s">
        <v>17</v>
      </c>
      <c r="AC1" s="4"/>
    </row>
    <row r="2" spans="1:30" s="1" customFormat="1" x14ac:dyDescent="0.2">
      <c r="A2" s="1" t="s">
        <v>18</v>
      </c>
      <c r="B2" s="2"/>
      <c r="C2" s="2"/>
      <c r="D2" s="2"/>
      <c r="E2" s="2"/>
      <c r="F2" s="2"/>
      <c r="H2" s="3"/>
      <c r="X2" s="2"/>
      <c r="AA2" s="2"/>
      <c r="AC2" s="4"/>
    </row>
    <row r="3" spans="1:30" s="5" customFormat="1" x14ac:dyDescent="0.2">
      <c r="A3" s="5" t="s">
        <v>19</v>
      </c>
      <c r="B3" s="5">
        <v>2.9834373110798702</v>
      </c>
      <c r="C3" s="5">
        <v>4.8562494081687002E-2</v>
      </c>
      <c r="D3" s="5">
        <v>0.243485437736713</v>
      </c>
      <c r="E3" s="5">
        <v>4.32998193682794E-3</v>
      </c>
      <c r="F3" s="5">
        <v>0.65072289378151105</v>
      </c>
      <c r="G3" s="6">
        <f t="shared" ref="G3:G55" si="0">(X3/AA3)*100</f>
        <v>99.784226300887411</v>
      </c>
      <c r="H3" s="7">
        <f>(1-(X3/AA3))*100</f>
        <v>0.21577369911258693</v>
      </c>
      <c r="I3" s="5">
        <v>8.9200707331832496E-2</v>
      </c>
      <c r="J3" s="5">
        <v>1.3667715040732E-3</v>
      </c>
      <c r="K3" s="8"/>
      <c r="L3" s="8"/>
      <c r="M3" s="5">
        <v>4.13155721634842</v>
      </c>
      <c r="N3" s="5">
        <v>7.3067396700156301E-2</v>
      </c>
      <c r="O3" s="5">
        <v>2.1985890551054101</v>
      </c>
      <c r="P3" s="5">
        <v>0.241041764134793</v>
      </c>
      <c r="Q3" s="9" t="s">
        <v>20</v>
      </c>
      <c r="R3" s="8"/>
      <c r="T3" s="8"/>
      <c r="U3" s="5">
        <v>0.29932757496495199</v>
      </c>
      <c r="X3" s="5">
        <v>1403.94368610527</v>
      </c>
      <c r="Y3" s="5">
        <v>22.405017414447901</v>
      </c>
      <c r="AA3" s="5">
        <v>1406.9795779864501</v>
      </c>
      <c r="AB3" s="5">
        <v>27.728348192700899</v>
      </c>
      <c r="AC3" s="10"/>
      <c r="AD3" s="8"/>
    </row>
    <row r="4" spans="1:30" x14ac:dyDescent="0.2">
      <c r="A4" s="11" t="s">
        <v>21</v>
      </c>
      <c r="B4" s="12">
        <v>2.79263474765806</v>
      </c>
      <c r="C4" s="12">
        <v>9.7973363066954394E-2</v>
      </c>
      <c r="D4" s="12">
        <v>0.235645260088922</v>
      </c>
      <c r="E4" s="12">
        <v>3.0764425503744999E-3</v>
      </c>
      <c r="F4" s="12">
        <v>0.212541376642706</v>
      </c>
      <c r="G4" s="13">
        <f t="shared" si="0"/>
        <v>104.48977244578903</v>
      </c>
      <c r="H4" s="3">
        <f t="shared" ref="H4:H55" si="1">(1-(X4/AA4))*100</f>
        <v>-4.4897724457890309</v>
      </c>
      <c r="I4" s="11">
        <v>8.5996995973001103E-2</v>
      </c>
      <c r="J4" s="11">
        <v>2.9563972683771299E-3</v>
      </c>
      <c r="M4" s="11">
        <v>4.2557974428071796</v>
      </c>
      <c r="N4" s="11">
        <v>5.5292005485323099E-2</v>
      </c>
      <c r="O4" s="11">
        <v>2.0263937250646298</v>
      </c>
      <c r="P4" s="11">
        <v>5.31821393276216E-2</v>
      </c>
      <c r="U4" s="11">
        <v>0.14678117609107999</v>
      </c>
      <c r="X4" s="12">
        <v>1363.57938964345</v>
      </c>
      <c r="Y4" s="11">
        <v>16.027528493328401</v>
      </c>
      <c r="AA4" s="12">
        <v>1304.9883808971799</v>
      </c>
      <c r="AB4" s="11">
        <v>67.279094073962398</v>
      </c>
    </row>
    <row r="5" spans="1:30" x14ac:dyDescent="0.2">
      <c r="A5" s="11" t="s">
        <v>22</v>
      </c>
      <c r="B5" s="12">
        <v>2.18145633531896</v>
      </c>
      <c r="C5" s="12">
        <v>7.0042578909324305E-2</v>
      </c>
      <c r="D5" s="12">
        <v>0.20482329057542301</v>
      </c>
      <c r="E5" s="12">
        <v>2.3102020385535301E-3</v>
      </c>
      <c r="F5" s="12">
        <v>8.6162959494279101E-2</v>
      </c>
      <c r="G5" s="13">
        <f t="shared" si="0"/>
        <v>109.05075596363223</v>
      </c>
      <c r="H5" s="3">
        <f t="shared" si="1"/>
        <v>-9.0507559636322288</v>
      </c>
      <c r="I5" s="11">
        <v>7.7107837972686305E-2</v>
      </c>
      <c r="J5" s="11">
        <v>2.5904867168911501E-3</v>
      </c>
      <c r="M5" s="11">
        <v>4.8624912713851103</v>
      </c>
      <c r="N5" s="11">
        <v>5.6817350678892702E-2</v>
      </c>
      <c r="O5" s="11">
        <v>1.70786383932092</v>
      </c>
      <c r="P5" s="11">
        <v>8.3365677759445297E-2</v>
      </c>
      <c r="U5" s="11">
        <v>0.25072397697202597</v>
      </c>
      <c r="X5" s="12">
        <v>1200.9187896966901</v>
      </c>
      <c r="Y5" s="11">
        <v>12.349336320616899</v>
      </c>
      <c r="AA5" s="12">
        <v>1101.24756044533</v>
      </c>
      <c r="AB5" s="11">
        <v>71.088019633108999</v>
      </c>
    </row>
    <row r="6" spans="1:30" x14ac:dyDescent="0.2">
      <c r="A6" s="11" t="s">
        <v>23</v>
      </c>
      <c r="B6" s="12">
        <v>3.0958264416629202</v>
      </c>
      <c r="C6" s="12">
        <v>6.3271327429609503E-2</v>
      </c>
      <c r="D6" s="12">
        <v>0.24854891450266001</v>
      </c>
      <c r="E6" s="12">
        <v>2.89179574443268E-3</v>
      </c>
      <c r="F6" s="12">
        <v>0.36629480276804599</v>
      </c>
      <c r="G6" s="13">
        <f t="shared" si="0"/>
        <v>100.29981801832272</v>
      </c>
      <c r="H6" s="3">
        <f t="shared" si="1"/>
        <v>-0.29981801832272836</v>
      </c>
      <c r="I6" s="11">
        <v>9.0306370515217199E-2</v>
      </c>
      <c r="J6" s="11">
        <v>1.86325836880619E-3</v>
      </c>
      <c r="M6" s="11">
        <v>4.0158784194929602</v>
      </c>
      <c r="N6" s="11">
        <v>5.0875535070246003E-2</v>
      </c>
      <c r="O6" s="11">
        <v>2.4982933293397598</v>
      </c>
      <c r="P6" s="11">
        <v>6.3532100167694505E-2</v>
      </c>
      <c r="Q6" s="15" t="s">
        <v>24</v>
      </c>
      <c r="U6" s="11">
        <v>0.25828128277266799</v>
      </c>
      <c r="X6" s="12">
        <v>1430.6088339846399</v>
      </c>
      <c r="Y6" s="11">
        <v>14.8968093354451</v>
      </c>
      <c r="AA6" s="12">
        <v>1426.33243235127</v>
      </c>
      <c r="AB6" s="11">
        <v>38.3944776021062</v>
      </c>
    </row>
    <row r="7" spans="1:30" s="5" customFormat="1" x14ac:dyDescent="0.2">
      <c r="A7" s="5" t="s">
        <v>25</v>
      </c>
      <c r="B7" s="5">
        <v>2.8452725332764901</v>
      </c>
      <c r="C7" s="5">
        <v>5.9897857443346199E-2</v>
      </c>
      <c r="D7" s="5">
        <v>0.12857500825058099</v>
      </c>
      <c r="E7" s="5">
        <v>2.81387784035321E-3</v>
      </c>
      <c r="F7" s="5">
        <v>0.90158865085988105</v>
      </c>
      <c r="G7" s="6">
        <f t="shared" si="0"/>
        <v>31.684973825887269</v>
      </c>
      <c r="H7" s="7">
        <f t="shared" si="1"/>
        <v>68.315026174112731</v>
      </c>
      <c r="I7" s="5">
        <v>0.16057963827517699</v>
      </c>
      <c r="J7" s="5">
        <v>1.34329122417188E-3</v>
      </c>
      <c r="K7" s="8"/>
      <c r="L7" s="8"/>
      <c r="M7" s="5">
        <v>7.8569871242217602</v>
      </c>
      <c r="N7" s="5">
        <v>0.181902151042697</v>
      </c>
      <c r="O7" s="5">
        <v>0.196143086367013</v>
      </c>
      <c r="P7" s="5">
        <v>6.1330815214819803E-3</v>
      </c>
      <c r="R7" s="8"/>
      <c r="T7" s="8"/>
      <c r="U7" s="5">
        <v>0.123839046084261</v>
      </c>
      <c r="X7" s="5">
        <v>779.29383099732604</v>
      </c>
      <c r="Y7" s="5">
        <v>16.112438713519602</v>
      </c>
      <c r="AA7" s="5">
        <v>2459.5059957430899</v>
      </c>
      <c r="AB7" s="5">
        <v>14.1514207642768</v>
      </c>
      <c r="AC7" s="10"/>
      <c r="AD7" s="8"/>
    </row>
    <row r="8" spans="1:30" x14ac:dyDescent="0.2">
      <c r="A8" s="11" t="s">
        <v>26</v>
      </c>
      <c r="B8" s="12">
        <v>5.6138858036275199</v>
      </c>
      <c r="C8" s="12">
        <v>0.184918467522691</v>
      </c>
      <c r="D8" s="12">
        <v>0.35082732451279303</v>
      </c>
      <c r="E8" s="12">
        <v>4.6589167754174004E-3</v>
      </c>
      <c r="F8" s="12">
        <v>0.20009815067103501</v>
      </c>
      <c r="G8" s="13">
        <f t="shared" si="0"/>
        <v>103.31313894336753</v>
      </c>
      <c r="H8" s="3">
        <f t="shared" si="1"/>
        <v>-3.3131389433675329</v>
      </c>
      <c r="I8" s="11">
        <v>0.11593124224588</v>
      </c>
      <c r="J8" s="11">
        <v>3.8098376314810601E-3</v>
      </c>
      <c r="M8" s="11">
        <v>2.85316688407387</v>
      </c>
      <c r="N8" s="11">
        <v>4.0435869422781802E-2</v>
      </c>
      <c r="O8" s="11">
        <v>1.0705447673015001</v>
      </c>
      <c r="P8" s="11">
        <v>3.1540212760910402E-2</v>
      </c>
      <c r="U8" s="11">
        <v>0.16826368302300301</v>
      </c>
      <c r="X8" s="12">
        <v>1937.70263859949</v>
      </c>
      <c r="Y8" s="11">
        <v>22.270392157283698</v>
      </c>
      <c r="AA8" s="12">
        <v>1875.56264229051</v>
      </c>
      <c r="AB8" s="11">
        <v>62.346146689963497</v>
      </c>
    </row>
    <row r="9" spans="1:30" x14ac:dyDescent="0.2">
      <c r="A9" s="11" t="s">
        <v>27</v>
      </c>
      <c r="B9" s="12">
        <v>5.2895648511486604</v>
      </c>
      <c r="C9" s="12">
        <v>0.109422768358077</v>
      </c>
      <c r="D9" s="12">
        <v>0.33380620762414198</v>
      </c>
      <c r="E9" s="12">
        <v>6.0314428622324804E-3</v>
      </c>
      <c r="F9" s="12">
        <v>0.70837282758936304</v>
      </c>
      <c r="G9" s="13">
        <f t="shared" si="0"/>
        <v>98.480956909321222</v>
      </c>
      <c r="H9" s="3">
        <f t="shared" si="1"/>
        <v>1.5190430906787733</v>
      </c>
      <c r="I9" s="11">
        <v>0.115309645736886</v>
      </c>
      <c r="J9" s="11">
        <v>1.6137368673338199E-3</v>
      </c>
      <c r="M9" s="11">
        <v>3.0054691680065901</v>
      </c>
      <c r="N9" s="11">
        <v>5.5238455338609098E-2</v>
      </c>
      <c r="O9" s="11">
        <v>1.35259784660076</v>
      </c>
      <c r="P9" s="11">
        <v>0.112971906540868</v>
      </c>
      <c r="U9" s="11">
        <v>9.5898456900973997E-2</v>
      </c>
      <c r="X9" s="12">
        <v>1855.3378976054901</v>
      </c>
      <c r="Y9" s="11">
        <v>29.388895022849301</v>
      </c>
      <c r="AA9" s="12">
        <v>1883.95600107119</v>
      </c>
      <c r="AB9" s="11">
        <v>23.7121643609598</v>
      </c>
    </row>
    <row r="10" spans="1:30" x14ac:dyDescent="0.2">
      <c r="A10" s="11" t="s">
        <v>28</v>
      </c>
      <c r="B10" s="12">
        <v>3.3159904463065999</v>
      </c>
      <c r="C10" s="12">
        <v>5.3614002108678602E-2</v>
      </c>
      <c r="D10" s="12">
        <v>0.26496391752445497</v>
      </c>
      <c r="E10" s="12">
        <v>2.0933099396750901E-3</v>
      </c>
      <c r="F10" s="12">
        <v>0.31976564246884698</v>
      </c>
      <c r="G10" s="13">
        <f t="shared" si="0"/>
        <v>105.42052120235297</v>
      </c>
      <c r="H10" s="3">
        <f t="shared" si="1"/>
        <v>-5.4205212023529681</v>
      </c>
      <c r="I10" s="11">
        <v>9.0932349169368196E-2</v>
      </c>
      <c r="J10" s="11">
        <v>1.51504486422056E-3</v>
      </c>
      <c r="M10" s="11">
        <v>3.7760057348237099</v>
      </c>
      <c r="N10" s="11">
        <v>2.98831364245025E-2</v>
      </c>
      <c r="O10" s="11">
        <v>1.6280870109074399</v>
      </c>
      <c r="P10" s="11">
        <v>3.47966706109296E-2</v>
      </c>
      <c r="U10" s="11">
        <v>0.165442499927762</v>
      </c>
      <c r="X10" s="12">
        <v>1514.9942367501701</v>
      </c>
      <c r="Y10" s="11">
        <v>10.6671852837581</v>
      </c>
      <c r="AA10" s="12">
        <v>1437.0961360000899</v>
      </c>
      <c r="AB10" s="11">
        <v>31.4737617865412</v>
      </c>
    </row>
    <row r="11" spans="1:30" x14ac:dyDescent="0.2">
      <c r="A11" s="11" t="s">
        <v>29</v>
      </c>
      <c r="B11" s="12">
        <v>5.2337726381493299</v>
      </c>
      <c r="C11" s="12">
        <v>7.4004618390012197E-2</v>
      </c>
      <c r="D11" s="12">
        <v>0.34347850579175798</v>
      </c>
      <c r="E11" s="12">
        <v>2.4729548099246702E-3</v>
      </c>
      <c r="F11" s="12">
        <v>0.45373609388861602</v>
      </c>
      <c r="G11" s="13">
        <f t="shared" si="0"/>
        <v>104.46916112448366</v>
      </c>
      <c r="H11" s="3">
        <f t="shared" si="1"/>
        <v>-4.469161124483656</v>
      </c>
      <c r="I11" s="11">
        <v>0.11164989171933801</v>
      </c>
      <c r="J11" s="11">
        <v>1.3907625213795201E-3</v>
      </c>
      <c r="M11" s="11">
        <v>2.9038893103844901</v>
      </c>
      <c r="N11" s="11">
        <v>2.00895281096009E-2</v>
      </c>
      <c r="O11" s="11">
        <v>1.5782615002031899</v>
      </c>
      <c r="P11" s="11">
        <v>1.5668467387641601E-2</v>
      </c>
      <c r="U11" s="11">
        <v>0.132302423821547</v>
      </c>
      <c r="X11" s="12">
        <v>1903.1408423927301</v>
      </c>
      <c r="Y11" s="11">
        <v>11.904707651576301</v>
      </c>
      <c r="AA11" s="12">
        <v>1821.72501617485</v>
      </c>
      <c r="AB11" s="11">
        <v>23.1782681345612</v>
      </c>
    </row>
    <row r="12" spans="1:30" s="5" customFormat="1" x14ac:dyDescent="0.2">
      <c r="A12" s="5" t="s">
        <v>30</v>
      </c>
      <c r="B12" s="5">
        <v>1.7734740462429599</v>
      </c>
      <c r="C12" s="5">
        <v>0.101933476481854</v>
      </c>
      <c r="D12" s="5">
        <v>0.179156441035738</v>
      </c>
      <c r="E12" s="5">
        <v>3.3106650908404402E-3</v>
      </c>
      <c r="F12" s="5">
        <v>7.9217890846976606E-3</v>
      </c>
      <c r="G12" s="6">
        <f t="shared" si="0"/>
        <v>115.82360015686204</v>
      </c>
      <c r="H12" s="7">
        <f t="shared" si="1"/>
        <v>-15.823600156862039</v>
      </c>
      <c r="I12" s="5">
        <v>7.3279970576339698E-2</v>
      </c>
      <c r="J12" s="5">
        <v>4.3279130609118503E-3</v>
      </c>
      <c r="K12" s="8"/>
      <c r="L12" s="8"/>
      <c r="M12" s="5">
        <v>5.6092698203258804</v>
      </c>
      <c r="N12" s="5">
        <v>0.10161219108137901</v>
      </c>
      <c r="O12" s="5">
        <v>1.6756132281114999</v>
      </c>
      <c r="P12" s="5">
        <v>2.80986248590726E-2</v>
      </c>
      <c r="R12" s="8"/>
      <c r="T12" s="8"/>
      <c r="U12" s="5">
        <v>0.286651630860217</v>
      </c>
      <c r="X12" s="5">
        <v>1061.8138263113899</v>
      </c>
      <c r="Y12" s="5">
        <v>18.0529426064018</v>
      </c>
      <c r="AA12" s="5">
        <v>916.75083909786599</v>
      </c>
      <c r="AB12" s="5">
        <v>141.489814173301</v>
      </c>
      <c r="AC12" s="10"/>
      <c r="AD12" s="8"/>
    </row>
    <row r="13" spans="1:30" x14ac:dyDescent="0.2">
      <c r="A13" s="11" t="s">
        <v>31</v>
      </c>
      <c r="B13" s="12">
        <v>2.89941841340422</v>
      </c>
      <c r="C13" s="12">
        <v>7.9044066677375902E-2</v>
      </c>
      <c r="D13" s="12">
        <v>0.24065201162223901</v>
      </c>
      <c r="E13" s="12">
        <v>2.3511520719294902E-3</v>
      </c>
      <c r="F13" s="12">
        <v>0.21014986307696301</v>
      </c>
      <c r="G13" s="13">
        <f t="shared" si="0"/>
        <v>99.72776183971412</v>
      </c>
      <c r="H13" s="3">
        <f t="shared" si="1"/>
        <v>0.27223816028588699</v>
      </c>
      <c r="I13" s="11">
        <v>8.9428431700619399E-2</v>
      </c>
      <c r="J13" s="11">
        <v>2.38677434340266E-3</v>
      </c>
      <c r="M13" s="11">
        <v>4.1467265152832002</v>
      </c>
      <c r="N13" s="11">
        <v>4.3794473175806301E-2</v>
      </c>
      <c r="O13" s="11">
        <v>2.1731871527080502</v>
      </c>
      <c r="P13" s="11">
        <v>1.8244139359372601E-2</v>
      </c>
      <c r="U13" s="11">
        <v>0.19894875097654299</v>
      </c>
      <c r="X13" s="12">
        <v>1389.8308345508101</v>
      </c>
      <c r="Y13" s="11">
        <v>12.2292292315735</v>
      </c>
      <c r="AA13" s="12">
        <v>1393.6248131032901</v>
      </c>
      <c r="AB13" s="11">
        <v>51.142414187159602</v>
      </c>
    </row>
    <row r="14" spans="1:30" x14ac:dyDescent="0.2">
      <c r="A14" s="11" t="s">
        <v>32</v>
      </c>
      <c r="B14" s="12">
        <v>3.2608679435204402</v>
      </c>
      <c r="C14" s="12">
        <v>5.26895306434354E-2</v>
      </c>
      <c r="D14" s="12">
        <v>0.25958310314899702</v>
      </c>
      <c r="E14" s="12">
        <v>3.16127220553505E-3</v>
      </c>
      <c r="F14" s="12">
        <v>0.53020613436554898</v>
      </c>
      <c r="G14" s="13">
        <f t="shared" si="0"/>
        <v>101.67773995956475</v>
      </c>
      <c r="H14" s="3">
        <f t="shared" si="1"/>
        <v>-1.6777399595647502</v>
      </c>
      <c r="I14" s="11">
        <v>9.18168450220858E-2</v>
      </c>
      <c r="J14" s="11">
        <v>1.2886296798404299E-3</v>
      </c>
      <c r="M14" s="11">
        <v>3.85566931547601</v>
      </c>
      <c r="N14" s="11">
        <v>4.6757503159800401E-2</v>
      </c>
      <c r="O14" s="11">
        <v>1.64816014127331</v>
      </c>
      <c r="P14" s="11">
        <v>4.5438767289066699E-2</v>
      </c>
      <c r="U14" s="11">
        <v>5.2379740354924799E-2</v>
      </c>
      <c r="X14" s="12">
        <v>1487.26754351875</v>
      </c>
      <c r="Y14" s="11">
        <v>16.164410421033701</v>
      </c>
      <c r="AA14" s="12">
        <v>1462.72679163621</v>
      </c>
      <c r="AB14" s="11">
        <v>25.3114551441308</v>
      </c>
    </row>
    <row r="15" spans="1:30" s="5" customFormat="1" x14ac:dyDescent="0.2">
      <c r="A15" s="5" t="s">
        <v>33</v>
      </c>
      <c r="B15" s="5">
        <v>1.5646015386430501</v>
      </c>
      <c r="C15" s="5">
        <v>4.7683508432417997E-2</v>
      </c>
      <c r="D15" s="5">
        <v>0.105978846918227</v>
      </c>
      <c r="E15" s="5">
        <v>3.4865726966738599E-3</v>
      </c>
      <c r="F15" s="5">
        <v>0.61956327128722399</v>
      </c>
      <c r="G15" s="6">
        <f t="shared" si="0"/>
        <v>36.589879139202878</v>
      </c>
      <c r="H15" s="7">
        <f t="shared" si="1"/>
        <v>63.410120860797115</v>
      </c>
      <c r="I15" s="5">
        <v>0.10959654159668</v>
      </c>
      <c r="J15" s="5">
        <v>3.0524387753247699E-3</v>
      </c>
      <c r="K15" s="8"/>
      <c r="L15" s="8"/>
      <c r="M15" s="5">
        <v>9.6663962042326599</v>
      </c>
      <c r="N15" s="5">
        <v>0.35501553314879403</v>
      </c>
      <c r="O15" s="5">
        <v>0.105917282389891</v>
      </c>
      <c r="P15" s="5">
        <v>6.4440319039926197E-3</v>
      </c>
      <c r="R15" s="8"/>
      <c r="T15" s="8"/>
      <c r="U15" s="5">
        <v>0.42556766802482399</v>
      </c>
      <c r="X15" s="5">
        <v>648.64487514023494</v>
      </c>
      <c r="Y15" s="5">
        <v>20.3812631426038</v>
      </c>
      <c r="AA15" s="5">
        <v>1772.7439674575701</v>
      </c>
      <c r="AB15" s="5">
        <v>51.073175210428602</v>
      </c>
      <c r="AC15" s="10"/>
      <c r="AD15" s="8"/>
    </row>
    <row r="16" spans="1:30" s="5" customFormat="1" x14ac:dyDescent="0.2">
      <c r="A16" s="5" t="s">
        <v>34</v>
      </c>
      <c r="B16" s="5">
        <v>2.5988930583168899</v>
      </c>
      <c r="C16" s="5">
        <v>8.6861761161472206E-2</v>
      </c>
      <c r="D16" s="5">
        <v>0.198974080830747</v>
      </c>
      <c r="E16" s="5">
        <v>7.26707544102738E-3</v>
      </c>
      <c r="F16" s="5">
        <v>0.890475086588423</v>
      </c>
      <c r="G16" s="6">
        <f t="shared" si="0"/>
        <v>75.29200985760977</v>
      </c>
      <c r="H16" s="7">
        <f t="shared" si="1"/>
        <v>24.707990142390223</v>
      </c>
      <c r="I16" s="5">
        <v>9.6524783940763206E-2</v>
      </c>
      <c r="J16" s="5">
        <v>1.58286886571448E-3</v>
      </c>
      <c r="K16" s="8"/>
      <c r="L16" s="8"/>
      <c r="M16" s="5">
        <v>5.19851523405063</v>
      </c>
      <c r="N16" s="5">
        <v>0.23362468559164201</v>
      </c>
      <c r="O16" s="5">
        <v>0.51086630837584601</v>
      </c>
      <c r="P16" s="5">
        <v>4.7919298033716001E-2</v>
      </c>
      <c r="R16" s="8"/>
      <c r="T16" s="8"/>
      <c r="U16" s="5">
        <v>0.42693817624950497</v>
      </c>
      <c r="X16" s="5">
        <v>1167.1575677268499</v>
      </c>
      <c r="Y16" s="5">
        <v>39.568160852578799</v>
      </c>
      <c r="AA16" s="5">
        <v>1550.17454034518</v>
      </c>
      <c r="AB16" s="5">
        <v>31.029172153405401</v>
      </c>
      <c r="AC16" s="10"/>
      <c r="AD16" s="8"/>
    </row>
    <row r="17" spans="1:30" x14ac:dyDescent="0.2">
      <c r="A17" s="11" t="s">
        <v>35</v>
      </c>
      <c r="B17" s="12">
        <v>2.8908082044035499</v>
      </c>
      <c r="C17" s="12">
        <v>6.4179076927888101E-2</v>
      </c>
      <c r="D17" s="12">
        <v>0.245110749756313</v>
      </c>
      <c r="E17" s="12">
        <v>2.54615368374553E-3</v>
      </c>
      <c r="F17" s="12">
        <v>5.3947579475552197E-2</v>
      </c>
      <c r="G17" s="13">
        <f t="shared" si="0"/>
        <v>105.03561892162665</v>
      </c>
      <c r="H17" s="3">
        <f t="shared" si="1"/>
        <v>-5.03561892162665</v>
      </c>
      <c r="I17" s="11">
        <v>8.6585045359955301E-2</v>
      </c>
      <c r="J17" s="11">
        <v>2.0211300650224699E-3</v>
      </c>
      <c r="M17" s="11">
        <v>4.0721365950516901</v>
      </c>
      <c r="N17" s="11">
        <v>4.0350212414504899E-2</v>
      </c>
      <c r="O17" s="11">
        <v>2.2174453633227</v>
      </c>
      <c r="P17" s="11">
        <v>1.9380944225376801E-2</v>
      </c>
      <c r="U17" s="11">
        <v>0.34362829253176302</v>
      </c>
      <c r="X17" s="12">
        <v>1412.91835254949</v>
      </c>
      <c r="Y17" s="11">
        <v>13.1938764174366</v>
      </c>
      <c r="AA17" s="12">
        <v>1345.1802036828601</v>
      </c>
      <c r="AB17" s="11">
        <v>42.508649701275502</v>
      </c>
    </row>
    <row r="18" spans="1:30" x14ac:dyDescent="0.2">
      <c r="A18" s="11" t="s">
        <v>36</v>
      </c>
      <c r="B18" s="12">
        <v>2.40993021226046</v>
      </c>
      <c r="C18" s="12">
        <v>7.8506905365681001E-2</v>
      </c>
      <c r="D18" s="12">
        <v>0.21339260213823899</v>
      </c>
      <c r="E18" s="12">
        <v>2.8265513788748699E-3</v>
      </c>
      <c r="F18" s="12">
        <v>0.16307054910032101</v>
      </c>
      <c r="G18" s="13">
        <f t="shared" si="0"/>
        <v>100.06379990877915</v>
      </c>
      <c r="H18" s="3">
        <f t="shared" si="1"/>
        <v>-6.3799908779138548E-2</v>
      </c>
      <c r="I18" s="11">
        <v>8.2930067191443496E-2</v>
      </c>
      <c r="J18" s="11">
        <v>2.7225980275618401E-3</v>
      </c>
      <c r="M18" s="11">
        <v>4.6824652149674897</v>
      </c>
      <c r="N18" s="11">
        <v>6.0131805128345497E-2</v>
      </c>
      <c r="O18" s="11">
        <v>2.9554632302164401</v>
      </c>
      <c r="P18" s="11">
        <v>4.2045014000347498E-2</v>
      </c>
      <c r="U18" s="11">
        <v>0.23388136256747999</v>
      </c>
      <c r="X18" s="12">
        <v>1246.48153927268</v>
      </c>
      <c r="Y18" s="11">
        <v>15.037347536158601</v>
      </c>
      <c r="AA18" s="12">
        <v>1245.68679223556</v>
      </c>
      <c r="AB18" s="11">
        <v>68.309488197805507</v>
      </c>
    </row>
    <row r="19" spans="1:30" x14ac:dyDescent="0.2">
      <c r="A19" s="11" t="s">
        <v>37</v>
      </c>
      <c r="B19" s="12">
        <v>3.24350219867909</v>
      </c>
      <c r="C19" s="12">
        <v>9.7212687160442499E-2</v>
      </c>
      <c r="D19" s="12">
        <v>0.25725027669982597</v>
      </c>
      <c r="E19" s="12">
        <v>2.9940250372385499E-3</v>
      </c>
      <c r="F19" s="12">
        <v>0.20063121893939501</v>
      </c>
      <c r="G19" s="13">
        <f t="shared" si="0"/>
        <v>100.49760566909227</v>
      </c>
      <c r="H19" s="3">
        <f t="shared" si="1"/>
        <v>-0.49760566909227144</v>
      </c>
      <c r="I19" s="11">
        <v>9.3267217674553399E-2</v>
      </c>
      <c r="J19" s="11">
        <v>2.82144825595844E-3</v>
      </c>
      <c r="M19" s="11">
        <v>3.8798642038925202</v>
      </c>
      <c r="N19" s="11">
        <v>4.2161497511956102E-2</v>
      </c>
      <c r="O19" s="11">
        <v>1.90397067323402</v>
      </c>
      <c r="P19" s="11">
        <v>4.4149784391406099E-2</v>
      </c>
      <c r="U19" s="11">
        <v>0.235906447405343</v>
      </c>
      <c r="X19" s="12">
        <v>1475.3555273008401</v>
      </c>
      <c r="Y19" s="11">
        <v>15.3747999833544</v>
      </c>
      <c r="AA19" s="12">
        <v>1468.0504251601101</v>
      </c>
      <c r="AB19" s="11">
        <v>58.5391727347765</v>
      </c>
    </row>
    <row r="20" spans="1:30" s="5" customFormat="1" x14ac:dyDescent="0.2">
      <c r="A20" s="5" t="s">
        <v>38</v>
      </c>
      <c r="B20" s="5">
        <v>8.9289461261535497</v>
      </c>
      <c r="C20" s="5">
        <v>0.10150595526093401</v>
      </c>
      <c r="D20" s="5">
        <v>0.388285447312819</v>
      </c>
      <c r="E20" s="5">
        <v>3.9057255786584099E-3</v>
      </c>
      <c r="F20" s="5">
        <v>0.53694272032194501</v>
      </c>
      <c r="G20" s="6">
        <f t="shared" si="0"/>
        <v>83.075321398087084</v>
      </c>
      <c r="H20" s="7">
        <f t="shared" si="1"/>
        <v>16.924678601912913</v>
      </c>
      <c r="I20" s="5">
        <v>0.169120833508456</v>
      </c>
      <c r="J20" s="5">
        <v>2.0541214087399602E-3</v>
      </c>
      <c r="K20" s="8"/>
      <c r="L20" s="8"/>
      <c r="M20" s="5">
        <v>2.5753273509552601</v>
      </c>
      <c r="N20" s="5">
        <v>2.6874701653570799E-2</v>
      </c>
      <c r="O20" s="5">
        <v>0.42882142058662098</v>
      </c>
      <c r="P20" s="5">
        <v>2.4464332724015998E-2</v>
      </c>
      <c r="R20" s="8"/>
      <c r="T20" s="8"/>
      <c r="U20" s="5">
        <v>0.357733687057186</v>
      </c>
      <c r="X20" s="5">
        <v>2114.3073473571499</v>
      </c>
      <c r="Y20" s="5">
        <v>18.216665609141302</v>
      </c>
      <c r="AA20" s="5">
        <v>2545.0486519644501</v>
      </c>
      <c r="AB20" s="5">
        <v>20.325036995401501</v>
      </c>
      <c r="AC20" s="10"/>
      <c r="AD20" s="8"/>
    </row>
    <row r="21" spans="1:30" x14ac:dyDescent="0.2">
      <c r="A21" s="11" t="s">
        <v>39</v>
      </c>
      <c r="B21" s="12">
        <v>3.05919061448864</v>
      </c>
      <c r="C21" s="12">
        <v>3.9350907530947901E-2</v>
      </c>
      <c r="D21" s="12">
        <v>0.23988558074698799</v>
      </c>
      <c r="E21" s="12">
        <v>3.3204705695355601E-3</v>
      </c>
      <c r="F21" s="12">
        <v>0.70363953948702895</v>
      </c>
      <c r="G21" s="13">
        <f t="shared" si="0"/>
        <v>92.40631839777302</v>
      </c>
      <c r="H21" s="3">
        <f t="shared" si="1"/>
        <v>7.593681602226976</v>
      </c>
      <c r="I21" s="11">
        <v>9.3749686021620801E-2</v>
      </c>
      <c r="J21" s="11">
        <v>9.6709793943306399E-4</v>
      </c>
      <c r="M21" s="11">
        <v>4.1762622215474998</v>
      </c>
      <c r="N21" s="11">
        <v>5.7161268848205701E-2</v>
      </c>
      <c r="O21" s="11">
        <v>2.07801580681905</v>
      </c>
      <c r="P21" s="11">
        <v>0.164817461954782</v>
      </c>
      <c r="U21" s="11">
        <v>0.47055085292430399</v>
      </c>
      <c r="X21" s="12">
        <v>1385.5946819504099</v>
      </c>
      <c r="Y21" s="11">
        <v>17.236896527534199</v>
      </c>
      <c r="AA21" s="12">
        <v>1499.4588097168501</v>
      </c>
      <c r="AB21" s="11">
        <v>19.489479398326299</v>
      </c>
    </row>
    <row r="22" spans="1:30" x14ac:dyDescent="0.2">
      <c r="A22" s="11" t="s">
        <v>40</v>
      </c>
      <c r="B22" s="12">
        <v>5.1380266818339004</v>
      </c>
      <c r="C22" s="12">
        <v>0.123114944831672</v>
      </c>
      <c r="D22" s="12">
        <v>0.33710802330774903</v>
      </c>
      <c r="E22" s="12">
        <v>3.9151933588721603E-3</v>
      </c>
      <c r="F22" s="12">
        <v>0.35534981007238697</v>
      </c>
      <c r="G22" s="13">
        <f t="shared" si="0"/>
        <v>102.65173658891669</v>
      </c>
      <c r="H22" s="3">
        <f t="shared" si="1"/>
        <v>-2.6517365889166866</v>
      </c>
      <c r="I22" s="11">
        <v>0.11241099759143</v>
      </c>
      <c r="J22" s="11">
        <v>2.68994136431363E-3</v>
      </c>
      <c r="M22" s="11">
        <v>2.9566793615185198</v>
      </c>
      <c r="N22" s="11">
        <v>3.4182793489286697E-2</v>
      </c>
      <c r="O22" s="11">
        <v>3.66565596760171</v>
      </c>
      <c r="P22" s="11">
        <v>6.7671407329830596E-2</v>
      </c>
      <c r="U22" s="11">
        <v>0.111679708352422</v>
      </c>
      <c r="X22" s="12">
        <v>1872.13393499931</v>
      </c>
      <c r="Y22" s="11">
        <v>18.878251981525398</v>
      </c>
      <c r="AA22" s="12">
        <v>1823.7722976831201</v>
      </c>
      <c r="AB22" s="11">
        <v>44.024231559202597</v>
      </c>
    </row>
    <row r="23" spans="1:30" x14ac:dyDescent="0.2">
      <c r="A23" s="11" t="s">
        <v>41</v>
      </c>
      <c r="B23" s="12">
        <v>13.552846681999901</v>
      </c>
      <c r="C23" s="12">
        <v>0.19869451721043399</v>
      </c>
      <c r="D23" s="12">
        <v>0.50677951751714201</v>
      </c>
      <c r="E23" s="12">
        <v>6.3984118279572996E-3</v>
      </c>
      <c r="F23" s="12">
        <v>0.57161679386580699</v>
      </c>
      <c r="G23" s="13">
        <f t="shared" si="0"/>
        <v>94.19054010527816</v>
      </c>
      <c r="H23" s="3">
        <f t="shared" si="1"/>
        <v>5.8094598947218357</v>
      </c>
      <c r="I23" s="11">
        <v>0.19739251025753901</v>
      </c>
      <c r="J23" s="11">
        <v>2.3426847674947598E-3</v>
      </c>
      <c r="M23" s="11">
        <v>1.9751923673899501</v>
      </c>
      <c r="N23" s="11">
        <v>2.3712088066096201E-2</v>
      </c>
      <c r="O23" s="11">
        <v>1.0059027169664101</v>
      </c>
      <c r="P23" s="11">
        <v>0.10380775092349399</v>
      </c>
      <c r="U23" s="11">
        <v>0.23780193874523101</v>
      </c>
      <c r="X23" s="12">
        <v>2641.6036839664698</v>
      </c>
      <c r="Y23" s="11">
        <v>27.113769740616601</v>
      </c>
      <c r="AA23" s="12">
        <v>2804.5318362267699</v>
      </c>
      <c r="AB23" s="11">
        <v>20.204089159883601</v>
      </c>
    </row>
    <row r="24" spans="1:30" s="5" customFormat="1" x14ac:dyDescent="0.2">
      <c r="A24" s="5" t="s">
        <v>42</v>
      </c>
      <c r="B24" s="5">
        <v>1.3548026934028099</v>
      </c>
      <c r="C24" s="5">
        <v>5.9198600949275398E-2</v>
      </c>
      <c r="D24" s="5">
        <v>5.6697442091476799E-2</v>
      </c>
      <c r="E24" s="5">
        <v>1.4901593290649101E-3</v>
      </c>
      <c r="F24" s="5">
        <v>0.79312658505414502</v>
      </c>
      <c r="G24" s="6">
        <f t="shared" si="0"/>
        <v>13.725097072169765</v>
      </c>
      <c r="H24" s="7">
        <f t="shared" si="1"/>
        <v>86.274902927830226</v>
      </c>
      <c r="I24" s="5">
        <v>0.17433196143190899</v>
      </c>
      <c r="J24" s="5">
        <v>4.0090875940042197E-3</v>
      </c>
      <c r="K24" s="8"/>
      <c r="L24" s="8"/>
      <c r="M24" s="5">
        <v>17.792732918602599</v>
      </c>
      <c r="N24" s="5">
        <v>0.48517814727066599</v>
      </c>
      <c r="O24" s="5">
        <v>0.31108483390696101</v>
      </c>
      <c r="P24" s="5">
        <v>1.34123540129471E-2</v>
      </c>
      <c r="R24" s="8"/>
      <c r="T24" s="8"/>
      <c r="U24" s="5">
        <v>-0.39126372444109397</v>
      </c>
      <c r="X24" s="5">
        <v>355.37028775842498</v>
      </c>
      <c r="Y24" s="5">
        <v>9.0857008157911299</v>
      </c>
      <c r="AA24" s="5">
        <v>2589.2005418235299</v>
      </c>
      <c r="AB24" s="5">
        <v>34.617945288394303</v>
      </c>
      <c r="AC24" s="10"/>
      <c r="AD24" s="8"/>
    </row>
    <row r="25" spans="1:30" x14ac:dyDescent="0.2">
      <c r="A25" s="11" t="s">
        <v>43</v>
      </c>
      <c r="B25" s="12">
        <v>2.8430615102154899</v>
      </c>
      <c r="C25" s="12">
        <v>5.1262840935185898E-2</v>
      </c>
      <c r="D25" s="12">
        <v>0.23454557538191301</v>
      </c>
      <c r="E25" s="12">
        <v>2.1628526550847901E-3</v>
      </c>
      <c r="F25" s="12">
        <v>0.41226422331249502</v>
      </c>
      <c r="G25" s="13">
        <f t="shared" si="0"/>
        <v>97.084119252113723</v>
      </c>
      <c r="H25" s="3">
        <f t="shared" si="1"/>
        <v>2.9158807478862792</v>
      </c>
      <c r="I25" s="11">
        <v>8.8881512753740205E-2</v>
      </c>
      <c r="J25" s="11">
        <v>1.4604536889687499E-3</v>
      </c>
      <c r="M25" s="11">
        <v>4.2616500383696003</v>
      </c>
      <c r="N25" s="11">
        <v>3.9871623935051698E-2</v>
      </c>
      <c r="O25" s="11">
        <v>3.10457453238419</v>
      </c>
      <c r="P25" s="11">
        <v>4.2181493471206997E-2</v>
      </c>
      <c r="U25" s="11">
        <v>0.121558167978224</v>
      </c>
      <c r="X25" s="12">
        <v>1358.0605872500701</v>
      </c>
      <c r="Y25" s="11">
        <v>11.304041774947001</v>
      </c>
      <c r="AA25" s="12">
        <v>1398.8493666233701</v>
      </c>
      <c r="AB25" s="11">
        <v>30.584710664129901</v>
      </c>
    </row>
    <row r="26" spans="1:30" x14ac:dyDescent="0.2">
      <c r="A26" s="11" t="s">
        <v>44</v>
      </c>
      <c r="B26" s="12">
        <v>2.2942147307249501</v>
      </c>
      <c r="C26" s="12">
        <v>5.9991148177461998E-2</v>
      </c>
      <c r="D26" s="12">
        <v>0.20613405898374099</v>
      </c>
      <c r="E26" s="12">
        <v>2.5631311573187602E-3</v>
      </c>
      <c r="F26" s="12">
        <v>0.441553237910767</v>
      </c>
      <c r="G26" s="13">
        <f t="shared" si="0"/>
        <v>98.6454370001195</v>
      </c>
      <c r="H26" s="3">
        <f t="shared" si="1"/>
        <v>1.3545629998805042</v>
      </c>
      <c r="I26" s="11">
        <v>8.1576358925444098E-2</v>
      </c>
      <c r="J26" s="11">
        <v>1.90274888181843E-3</v>
      </c>
      <c r="M26" s="11">
        <v>4.8104104037456503</v>
      </c>
      <c r="N26" s="11">
        <v>5.5486222919189102E-2</v>
      </c>
      <c r="O26" s="11">
        <v>1.9809329460751399</v>
      </c>
      <c r="P26" s="11">
        <v>2.1521802749185599E-2</v>
      </c>
      <c r="U26" s="11">
        <v>4.5530396347475098E-2</v>
      </c>
      <c r="X26" s="12">
        <v>1210.27184420817</v>
      </c>
      <c r="Y26" s="11">
        <v>13.000798240226301</v>
      </c>
      <c r="AA26" s="12">
        <v>1226.8908537621501</v>
      </c>
      <c r="AB26" s="11">
        <v>44.8091495101297</v>
      </c>
    </row>
    <row r="27" spans="1:30" x14ac:dyDescent="0.2">
      <c r="A27" s="11" t="s">
        <v>45</v>
      </c>
      <c r="B27" s="12">
        <v>3.9135447958462399</v>
      </c>
      <c r="C27" s="12">
        <v>8.4257023437040293E-2</v>
      </c>
      <c r="D27" s="12">
        <v>0.275993850271189</v>
      </c>
      <c r="E27" s="12">
        <v>3.3453473986074702E-3</v>
      </c>
      <c r="F27" s="12">
        <v>0.13230864645170001</v>
      </c>
      <c r="G27" s="13">
        <f t="shared" si="0"/>
        <v>92.964718898197916</v>
      </c>
      <c r="H27" s="3">
        <f t="shared" si="1"/>
        <v>7.0352811018020827</v>
      </c>
      <c r="I27" s="11">
        <v>0.10439572035542299</v>
      </c>
      <c r="J27" s="11">
        <v>2.3925906528963498E-3</v>
      </c>
      <c r="M27" s="11">
        <v>3.62649551789726</v>
      </c>
      <c r="N27" s="11">
        <v>4.4095311413195698E-2</v>
      </c>
      <c r="O27" s="11">
        <v>1.57154382115099</v>
      </c>
      <c r="P27" s="11">
        <v>2.7794755659859099E-2</v>
      </c>
      <c r="U27" s="11">
        <v>0.32123120120347098</v>
      </c>
      <c r="X27" s="12">
        <v>1570.66770908947</v>
      </c>
      <c r="Y27" s="11">
        <v>16.889127320421299</v>
      </c>
      <c r="AA27" s="12">
        <v>1689.5309615354699</v>
      </c>
      <c r="AB27" s="11">
        <v>42.858443231177603</v>
      </c>
    </row>
    <row r="28" spans="1:30" s="5" customFormat="1" x14ac:dyDescent="0.2">
      <c r="A28" s="5" t="s">
        <v>46</v>
      </c>
      <c r="B28" s="5">
        <v>2.9393880956271099</v>
      </c>
      <c r="C28" s="5">
        <v>9.5869694425103694E-2</v>
      </c>
      <c r="D28" s="5">
        <v>0.212522052201322</v>
      </c>
      <c r="E28" s="5">
        <v>1.0157706348147401E-2</v>
      </c>
      <c r="F28" s="5">
        <v>0.38712017729362702</v>
      </c>
      <c r="G28" s="6">
        <f t="shared" si="0"/>
        <v>74.114021337341555</v>
      </c>
      <c r="H28" s="7">
        <f t="shared" si="1"/>
        <v>25.885978662658449</v>
      </c>
      <c r="I28" s="5">
        <v>0.105747841166589</v>
      </c>
      <c r="J28" s="5">
        <v>5.1485513616915599E-3</v>
      </c>
      <c r="K28" s="8"/>
      <c r="L28" s="8"/>
      <c r="M28" s="5">
        <v>4.9565630342826301</v>
      </c>
      <c r="N28" s="5">
        <v>0.25104950060257297</v>
      </c>
      <c r="O28" s="5">
        <v>0.52779855320223201</v>
      </c>
      <c r="P28" s="5">
        <v>7.2099232279246098E-2</v>
      </c>
      <c r="R28" s="8"/>
      <c r="T28" s="8"/>
      <c r="U28" s="5">
        <v>0.79020516004679897</v>
      </c>
      <c r="X28" s="5">
        <v>1237.2374352414399</v>
      </c>
      <c r="Y28" s="5">
        <v>54.2168784554718</v>
      </c>
      <c r="AA28" s="5">
        <v>1669.3702661335301</v>
      </c>
      <c r="AB28" s="5">
        <v>87.968543692093704</v>
      </c>
      <c r="AC28" s="10"/>
      <c r="AD28" s="8"/>
    </row>
    <row r="29" spans="1:30" x14ac:dyDescent="0.2">
      <c r="A29" s="11" t="s">
        <v>47</v>
      </c>
      <c r="B29" s="12">
        <v>2.8401453991428398</v>
      </c>
      <c r="C29" s="12">
        <v>6.4204436478623103E-2</v>
      </c>
      <c r="D29" s="12">
        <v>0.23576369488479099</v>
      </c>
      <c r="E29" s="12">
        <v>2.8322520669741601E-3</v>
      </c>
      <c r="F29" s="12">
        <v>0.294959390090205</v>
      </c>
      <c r="G29" s="13">
        <f t="shared" si="0"/>
        <v>98.246135467945692</v>
      </c>
      <c r="H29" s="3">
        <f t="shared" si="1"/>
        <v>1.7538645320543056</v>
      </c>
      <c r="I29" s="11">
        <v>8.8613054782582704E-2</v>
      </c>
      <c r="J29" s="11">
        <v>1.9730910380432801E-3</v>
      </c>
      <c r="M29" s="11">
        <v>4.2449936890009701</v>
      </c>
      <c r="N29" s="11">
        <v>5.0787714144681501E-2</v>
      </c>
      <c r="O29" s="11">
        <v>2.08057082086339</v>
      </c>
      <c r="P29" s="11">
        <v>2.23114783258942E-2</v>
      </c>
      <c r="U29" s="11">
        <v>0.18932086330849901</v>
      </c>
      <c r="X29" s="12">
        <v>1364.2639523001201</v>
      </c>
      <c r="Y29" s="11">
        <v>14.7610252873558</v>
      </c>
      <c r="AA29" s="12">
        <v>1388.6184385799399</v>
      </c>
      <c r="AB29" s="11">
        <v>41.4300620381442</v>
      </c>
    </row>
    <row r="30" spans="1:30" s="5" customFormat="1" x14ac:dyDescent="0.2">
      <c r="A30" s="5" t="s">
        <v>48</v>
      </c>
      <c r="B30" s="5">
        <v>1.3403683673866</v>
      </c>
      <c r="C30" s="5">
        <v>2.1246748832518699E-2</v>
      </c>
      <c r="D30" s="5">
        <v>6.5966955952491593E-2</v>
      </c>
      <c r="E30" s="5">
        <v>8.34885021348449E-4</v>
      </c>
      <c r="F30" s="5">
        <v>0.40314456820744499</v>
      </c>
      <c r="G30" s="6">
        <f t="shared" si="0"/>
        <v>17.647684252453121</v>
      </c>
      <c r="H30" s="7">
        <f t="shared" si="1"/>
        <v>82.352315747546882</v>
      </c>
      <c r="I30" s="5">
        <v>0.14903198691481701</v>
      </c>
      <c r="J30" s="5">
        <v>2.2985214132439499E-3</v>
      </c>
      <c r="K30" s="8"/>
      <c r="L30" s="8"/>
      <c r="M30" s="5">
        <v>15.1755412936072</v>
      </c>
      <c r="N30" s="5">
        <v>0.187029095947716</v>
      </c>
      <c r="O30" s="5">
        <v>0.25887644507160801</v>
      </c>
      <c r="P30" s="5">
        <v>4.7036767797514799E-3</v>
      </c>
      <c r="R30" s="8"/>
      <c r="T30" s="8"/>
      <c r="U30" s="5">
        <v>0.43719071483080701</v>
      </c>
      <c r="X30" s="5">
        <v>411.76850715498301</v>
      </c>
      <c r="Y30" s="5">
        <v>5.04365164716992</v>
      </c>
      <c r="AA30" s="5">
        <v>2333.27218044342</v>
      </c>
      <c r="AB30" s="5">
        <v>25.078315210498999</v>
      </c>
      <c r="AC30" s="10"/>
      <c r="AD30" s="8"/>
    </row>
    <row r="31" spans="1:30" s="5" customFormat="1" x14ac:dyDescent="0.2">
      <c r="A31" s="5" t="s">
        <v>49</v>
      </c>
      <c r="B31" s="5">
        <v>2.6516188658025599</v>
      </c>
      <c r="C31" s="5">
        <v>6.9607987618895695E-2</v>
      </c>
      <c r="D31" s="5">
        <v>0.20409213292720901</v>
      </c>
      <c r="E31" s="5">
        <v>4.8308859223262996E-3</v>
      </c>
      <c r="F31" s="5">
        <v>0.56537182734741698</v>
      </c>
      <c r="G31" s="6">
        <f t="shared" si="0"/>
        <v>77.765663684013944</v>
      </c>
      <c r="H31" s="7">
        <f t="shared" si="1"/>
        <v>22.234336315986059</v>
      </c>
      <c r="I31" s="5">
        <v>9.6340757019578394E-2</v>
      </c>
      <c r="J31" s="5">
        <v>2.4017173346632501E-3</v>
      </c>
      <c r="K31" s="8"/>
      <c r="L31" s="8"/>
      <c r="M31" s="5">
        <v>4.9450344379665303</v>
      </c>
      <c r="N31" s="5">
        <v>0.110955435267019</v>
      </c>
      <c r="O31" s="5">
        <v>2.0070417518336501</v>
      </c>
      <c r="P31" s="5">
        <v>5.6839307817448503E-2</v>
      </c>
      <c r="R31" s="8"/>
      <c r="T31" s="8"/>
      <c r="U31" s="5">
        <v>0.39031692741493701</v>
      </c>
      <c r="X31" s="5">
        <v>1196.14639262125</v>
      </c>
      <c r="Y31" s="5">
        <v>25.7092280272098</v>
      </c>
      <c r="AA31" s="5">
        <v>1538.14207447848</v>
      </c>
      <c r="AB31" s="5">
        <v>46.011126054614799</v>
      </c>
      <c r="AC31" s="10"/>
      <c r="AD31" s="8"/>
    </row>
    <row r="32" spans="1:30" s="5" customFormat="1" x14ac:dyDescent="0.2">
      <c r="A32" s="5" t="s">
        <v>50</v>
      </c>
      <c r="B32" s="5">
        <v>1.9431195362148901</v>
      </c>
      <c r="C32" s="5">
        <v>0.11728763879423</v>
      </c>
      <c r="D32" s="5">
        <v>0.113143186985176</v>
      </c>
      <c r="E32" s="5">
        <v>4.54236523108025E-3</v>
      </c>
      <c r="F32" s="5">
        <v>0.84427104416903098</v>
      </c>
      <c r="G32" s="6">
        <f t="shared" si="0"/>
        <v>34.326936786045337</v>
      </c>
      <c r="H32" s="7">
        <f t="shared" si="1"/>
        <v>65.673063213954663</v>
      </c>
      <c r="I32" s="5">
        <v>0.124444329905547</v>
      </c>
      <c r="J32" s="5">
        <v>3.4824754957305001E-3</v>
      </c>
      <c r="K32" s="8"/>
      <c r="L32" s="8"/>
      <c r="M32" s="5">
        <v>9.1434061118743006</v>
      </c>
      <c r="N32" s="5">
        <v>0.37435747078015102</v>
      </c>
      <c r="O32" s="5">
        <v>0.364275742347826</v>
      </c>
      <c r="P32" s="5">
        <v>1.37481386702374E-2</v>
      </c>
      <c r="R32" s="8"/>
      <c r="T32" s="8"/>
      <c r="U32" s="5">
        <v>-0.22010776319348399</v>
      </c>
      <c r="X32" s="5">
        <v>689.79703867338196</v>
      </c>
      <c r="Y32" s="5">
        <v>26.281907398303499</v>
      </c>
      <c r="AA32" s="5">
        <v>2009.4919711968</v>
      </c>
      <c r="AB32" s="5">
        <v>50.523164879692402</v>
      </c>
      <c r="AC32" s="10"/>
      <c r="AD32" s="8"/>
    </row>
    <row r="33" spans="1:30" s="5" customFormat="1" x14ac:dyDescent="0.2">
      <c r="A33" s="5" t="s">
        <v>51</v>
      </c>
      <c r="B33" s="5">
        <v>2.9579349099766601</v>
      </c>
      <c r="C33" s="5">
        <v>6.1681526730078699E-2</v>
      </c>
      <c r="D33" s="5">
        <v>0.231055767032189</v>
      </c>
      <c r="E33" s="5">
        <v>2.78165098712631E-3</v>
      </c>
      <c r="F33" s="5">
        <v>0.60390335727129296</v>
      </c>
      <c r="G33" s="6">
        <f t="shared" si="0"/>
        <v>89.209821349118059</v>
      </c>
      <c r="H33" s="7">
        <f t="shared" si="1"/>
        <v>10.790178650881943</v>
      </c>
      <c r="I33" s="5">
        <v>9.3823567570123806E-2</v>
      </c>
      <c r="J33" s="5">
        <v>1.56630157261983E-3</v>
      </c>
      <c r="K33" s="8"/>
      <c r="L33" s="8"/>
      <c r="M33" s="5">
        <v>4.32387618435357</v>
      </c>
      <c r="N33" s="5">
        <v>5.5172955870387799E-2</v>
      </c>
      <c r="O33" s="5">
        <v>1.92504234142575</v>
      </c>
      <c r="P33" s="5">
        <v>0.145163540975977</v>
      </c>
      <c r="R33" s="8"/>
      <c r="T33" s="8"/>
      <c r="U33" s="5">
        <v>-8.4663393996192104E-2</v>
      </c>
      <c r="X33" s="5">
        <v>1339.66741805726</v>
      </c>
      <c r="Y33" s="5">
        <v>14.582841800088501</v>
      </c>
      <c r="AA33" s="5">
        <v>1501.7039579247</v>
      </c>
      <c r="AB33" s="5">
        <v>29.787395061324698</v>
      </c>
      <c r="AC33" s="10"/>
      <c r="AD33" s="8"/>
    </row>
    <row r="34" spans="1:30" s="5" customFormat="1" x14ac:dyDescent="0.2">
      <c r="A34" s="5" t="s">
        <v>52</v>
      </c>
      <c r="B34" s="5">
        <v>3.5219951682543198</v>
      </c>
      <c r="C34" s="5">
        <v>0.27581069671478903</v>
      </c>
      <c r="D34" s="5">
        <v>0.14584632630205299</v>
      </c>
      <c r="E34" s="5">
        <v>2.98782072852666E-3</v>
      </c>
      <c r="F34" s="5">
        <v>0.69899449499366395</v>
      </c>
      <c r="G34" s="6">
        <f t="shared" si="0"/>
        <v>34.752142664694738</v>
      </c>
      <c r="H34" s="7">
        <f>(1-(X34/AA34))*100</f>
        <v>65.247857335305255</v>
      </c>
      <c r="I34" s="5">
        <v>0.17509922150806301</v>
      </c>
      <c r="J34" s="5">
        <v>1.1279009295996701E-2</v>
      </c>
      <c r="K34" s="8"/>
      <c r="L34" s="8"/>
      <c r="M34" s="5">
        <v>6.8570187233926596</v>
      </c>
      <c r="N34" s="5">
        <v>0.12900053821405699</v>
      </c>
      <c r="O34" s="5">
        <v>3.3924328307474098E-2</v>
      </c>
      <c r="P34" s="5">
        <v>1.46170372240387E-3</v>
      </c>
      <c r="R34" s="8"/>
      <c r="T34" s="8"/>
      <c r="U34" s="5">
        <v>-0.51226524109292304</v>
      </c>
      <c r="X34" s="5">
        <v>877.15564050568901</v>
      </c>
      <c r="Y34" s="5">
        <v>16.801706371510701</v>
      </c>
      <c r="AA34" s="5">
        <v>2524.0332631254</v>
      </c>
      <c r="AB34" s="5">
        <v>102.771070843419</v>
      </c>
      <c r="AC34" s="10"/>
      <c r="AD34" s="8"/>
    </row>
    <row r="35" spans="1:30" s="5" customFormat="1" x14ac:dyDescent="0.2">
      <c r="A35" s="5" t="s">
        <v>53</v>
      </c>
      <c r="B35" s="5">
        <v>1.6123334749364799</v>
      </c>
      <c r="C35" s="5">
        <v>4.7845975854821997E-2</v>
      </c>
      <c r="D35" s="5">
        <v>9.7461494742461394E-2</v>
      </c>
      <c r="E35" s="5">
        <v>4.9651656493737498E-3</v>
      </c>
      <c r="F35" s="5">
        <v>0.69378435093531898</v>
      </c>
      <c r="G35" s="6">
        <f t="shared" si="0"/>
        <v>29.769400560322616</v>
      </c>
      <c r="H35" s="7">
        <f t="shared" si="1"/>
        <v>70.230599439677377</v>
      </c>
      <c r="I35" s="5">
        <v>0.12601808157715999</v>
      </c>
      <c r="J35" s="5">
        <v>4.8529880586198702E-3</v>
      </c>
      <c r="K35" s="8"/>
      <c r="L35" s="8"/>
      <c r="M35" s="5">
        <v>10.918275589044599</v>
      </c>
      <c r="N35" s="5">
        <v>0.61689173936535802</v>
      </c>
      <c r="O35" s="5">
        <v>0.25422547933894002</v>
      </c>
      <c r="P35" s="5">
        <v>2.1682543879400499E-2</v>
      </c>
      <c r="R35" s="8"/>
      <c r="T35" s="8"/>
      <c r="U35" s="5">
        <v>0.78495603622555699</v>
      </c>
      <c r="X35" s="5">
        <v>598.05802979427597</v>
      </c>
      <c r="Y35" s="5">
        <v>29.249839521662501</v>
      </c>
      <c r="AA35" s="5">
        <v>2008.9690035323799</v>
      </c>
      <c r="AB35" s="5">
        <v>66.348765245959896</v>
      </c>
      <c r="AC35" s="10"/>
      <c r="AD35" s="8"/>
    </row>
    <row r="36" spans="1:30" s="5" customFormat="1" x14ac:dyDescent="0.2">
      <c r="A36" s="5" t="s">
        <v>54</v>
      </c>
      <c r="B36" s="5">
        <v>1.7350774431018099</v>
      </c>
      <c r="C36" s="5">
        <v>3.93038014361674E-2</v>
      </c>
      <c r="D36" s="5">
        <v>0.131902241090847</v>
      </c>
      <c r="E36" s="5">
        <v>3.16650806616017E-3</v>
      </c>
      <c r="F36" s="5">
        <v>0.67198082066641296</v>
      </c>
      <c r="G36" s="6">
        <f t="shared" si="0"/>
        <v>51.049098105850256</v>
      </c>
      <c r="H36" s="7">
        <f t="shared" si="1"/>
        <v>48.950901894149744</v>
      </c>
      <c r="I36" s="5">
        <v>9.7019425112961397E-2</v>
      </c>
      <c r="J36" s="5">
        <v>1.91308462198463E-3</v>
      </c>
      <c r="K36" s="8"/>
      <c r="L36" s="8"/>
      <c r="M36" s="5">
        <v>7.63292192620212</v>
      </c>
      <c r="N36" s="5">
        <v>0.20336194193622201</v>
      </c>
      <c r="O36" s="5">
        <v>0.44459010219174599</v>
      </c>
      <c r="P36" s="5">
        <v>8.0228153487459201E-3</v>
      </c>
      <c r="R36" s="8"/>
      <c r="T36" s="8"/>
      <c r="U36" s="5">
        <v>0.48360957439142699</v>
      </c>
      <c r="X36" s="5">
        <v>798.15238942624296</v>
      </c>
      <c r="Y36" s="5">
        <v>18.0580515237321</v>
      </c>
      <c r="AA36" s="5">
        <v>1563.4994917467</v>
      </c>
      <c r="AB36" s="5">
        <v>35.477375214765303</v>
      </c>
      <c r="AC36" s="10"/>
      <c r="AD36" s="8"/>
    </row>
    <row r="37" spans="1:30" s="5" customFormat="1" x14ac:dyDescent="0.2">
      <c r="A37" s="5" t="s">
        <v>55</v>
      </c>
      <c r="B37" s="5">
        <v>2.67185503711538</v>
      </c>
      <c r="C37" s="5">
        <v>5.8151399359521301E-2</v>
      </c>
      <c r="D37" s="5">
        <v>0.217129865726813</v>
      </c>
      <c r="E37" s="5">
        <v>1.9115842466341201E-3</v>
      </c>
      <c r="F37" s="5">
        <v>-1.4357207788890001E-2</v>
      </c>
      <c r="G37" s="6">
        <f t="shared" si="0"/>
        <v>89.321922021466179</v>
      </c>
      <c r="H37" s="7">
        <f t="shared" si="1"/>
        <v>10.678077978533818</v>
      </c>
      <c r="I37" s="5">
        <v>9.0392494867209502E-2</v>
      </c>
      <c r="J37" s="5">
        <v>2.1538613062608201E-3</v>
      </c>
      <c r="K37" s="8"/>
      <c r="L37" s="8"/>
      <c r="M37" s="5">
        <v>4.6026246107422999</v>
      </c>
      <c r="N37" s="5">
        <v>4.1192958786633697E-2</v>
      </c>
      <c r="O37" s="5">
        <v>0.97113695534355005</v>
      </c>
      <c r="P37" s="5">
        <v>6.1990389951196601E-2</v>
      </c>
      <c r="R37" s="8"/>
      <c r="T37" s="8"/>
      <c r="U37" s="5">
        <v>0.40125491852366202</v>
      </c>
      <c r="X37" s="5">
        <v>1266.51834729845</v>
      </c>
      <c r="Y37" s="5">
        <v>10.1352914848274</v>
      </c>
      <c r="AA37" s="5">
        <v>1417.92554239269</v>
      </c>
      <c r="AB37" s="5">
        <v>46.061766942621297</v>
      </c>
      <c r="AC37" s="10"/>
      <c r="AD37" s="8"/>
    </row>
    <row r="38" spans="1:30" s="5" customFormat="1" x14ac:dyDescent="0.2">
      <c r="A38" s="5" t="s">
        <v>56</v>
      </c>
      <c r="B38" s="5">
        <v>3.4576662360964598</v>
      </c>
      <c r="C38" s="5">
        <v>0.13490730444920301</v>
      </c>
      <c r="D38" s="5">
        <v>0.24574773779311701</v>
      </c>
      <c r="E38" s="5">
        <v>2.6409690244077202E-3</v>
      </c>
      <c r="F38" s="5">
        <v>-8.6418805283109204E-2</v>
      </c>
      <c r="G38" s="6">
        <f t="shared" si="0"/>
        <v>88.573453022762067</v>
      </c>
      <c r="H38" s="7">
        <f t="shared" si="1"/>
        <v>11.426546977237939</v>
      </c>
      <c r="I38" s="5">
        <v>0.10014687792450799</v>
      </c>
      <c r="J38" s="5">
        <v>3.9327476883615304E-3</v>
      </c>
      <c r="K38" s="8"/>
      <c r="L38" s="8"/>
      <c r="M38" s="5">
        <v>4.0707151455668997</v>
      </c>
      <c r="N38" s="5">
        <v>4.4342710581442499E-2</v>
      </c>
      <c r="O38" s="5">
        <v>3.9242472361310901</v>
      </c>
      <c r="P38" s="5">
        <v>0.20828511738414099</v>
      </c>
      <c r="R38" s="8"/>
      <c r="T38" s="8"/>
      <c r="U38" s="5">
        <v>0.36914983445386901</v>
      </c>
      <c r="X38" s="5">
        <v>1416.1935426165101</v>
      </c>
      <c r="Y38" s="5">
        <v>13.676819187062399</v>
      </c>
      <c r="AA38" s="5">
        <v>1598.8916478762201</v>
      </c>
      <c r="AB38" s="5">
        <v>73.676142029643501</v>
      </c>
      <c r="AC38" s="10"/>
      <c r="AD38" s="8"/>
    </row>
    <row r="39" spans="1:30" s="5" customFormat="1" x14ac:dyDescent="0.2">
      <c r="A39" s="5" t="s">
        <v>57</v>
      </c>
      <c r="B39" s="5">
        <v>2.25958200582863</v>
      </c>
      <c r="C39" s="5">
        <v>5.3023918473925298E-2</v>
      </c>
      <c r="D39" s="5">
        <v>0.17650275242126501</v>
      </c>
      <c r="E39" s="5">
        <v>2.3082935343514202E-3</v>
      </c>
      <c r="F39" s="5">
        <v>0.62830250267653298</v>
      </c>
      <c r="G39" s="6">
        <f t="shared" si="0"/>
        <v>71.333218020779398</v>
      </c>
      <c r="H39" s="7">
        <f t="shared" si="1"/>
        <v>28.666781979220602</v>
      </c>
      <c r="I39" s="5">
        <v>9.2621026894743594E-2</v>
      </c>
      <c r="J39" s="5">
        <v>1.8893289637950299E-3</v>
      </c>
      <c r="K39" s="8"/>
      <c r="L39" s="8"/>
      <c r="M39" s="5">
        <v>5.6741744218513803</v>
      </c>
      <c r="N39" s="5">
        <v>7.2658335260086901E-2</v>
      </c>
      <c r="O39" s="5">
        <v>0.42547180508699101</v>
      </c>
      <c r="P39" s="5">
        <v>1.48055582998674E-2</v>
      </c>
      <c r="R39" s="8"/>
      <c r="T39" s="8"/>
      <c r="U39" s="5">
        <v>-0.19719436472965399</v>
      </c>
      <c r="X39" s="5">
        <v>1047.56839763732</v>
      </c>
      <c r="Y39" s="5">
        <v>12.6204423857493</v>
      </c>
      <c r="AA39" s="5">
        <v>1468.5562024303499</v>
      </c>
      <c r="AB39" s="5">
        <v>38.341631535469404</v>
      </c>
      <c r="AC39" s="10"/>
      <c r="AD39" s="8"/>
    </row>
    <row r="40" spans="1:30" x14ac:dyDescent="0.2">
      <c r="A40" s="11" t="s">
        <v>58</v>
      </c>
      <c r="B40" s="12">
        <v>2.4407940339739702</v>
      </c>
      <c r="C40" s="12">
        <v>5.6318884932697898E-2</v>
      </c>
      <c r="D40" s="12">
        <v>0.21097773734973199</v>
      </c>
      <c r="E40" s="12">
        <v>3.7807828830849401E-3</v>
      </c>
      <c r="F40" s="12">
        <v>0.57624969170859697</v>
      </c>
      <c r="G40" s="13">
        <f t="shared" si="0"/>
        <v>96.789207204275414</v>
      </c>
      <c r="H40" s="3">
        <f t="shared" si="1"/>
        <v>3.2107927957245819</v>
      </c>
      <c r="I40" s="11">
        <v>8.3334531533406905E-2</v>
      </c>
      <c r="J40" s="11">
        <v>1.45936323324035E-3</v>
      </c>
      <c r="M40" s="11">
        <v>4.7480848800344102</v>
      </c>
      <c r="N40" s="11">
        <v>8.4539748465906894E-2</v>
      </c>
      <c r="O40" s="11">
        <v>1.31132030645009</v>
      </c>
      <c r="P40" s="11">
        <v>0.15060776037166601</v>
      </c>
      <c r="U40" s="11">
        <v>0.228583121654201</v>
      </c>
      <c r="X40" s="12">
        <v>1233.33043691634</v>
      </c>
      <c r="Y40" s="11">
        <v>20.1936273019219</v>
      </c>
      <c r="AA40" s="12">
        <v>1274.2437638872</v>
      </c>
      <c r="AB40" s="11">
        <v>33.080238232849197</v>
      </c>
    </row>
    <row r="41" spans="1:30" x14ac:dyDescent="0.2">
      <c r="A41" s="11" t="s">
        <v>59</v>
      </c>
      <c r="B41" s="12">
        <v>3.1899193056981301</v>
      </c>
      <c r="C41" s="12">
        <v>0.114507270556021</v>
      </c>
      <c r="D41" s="12">
        <v>0.23981309983497801</v>
      </c>
      <c r="E41" s="12">
        <v>4.8306677294057401E-3</v>
      </c>
      <c r="F41" s="12">
        <v>0.20911495821613299</v>
      </c>
      <c r="G41" s="13">
        <f t="shared" si="0"/>
        <v>90.572298535561643</v>
      </c>
      <c r="H41" s="3">
        <f t="shared" si="1"/>
        <v>9.4277014644383534</v>
      </c>
      <c r="I41" s="11">
        <v>9.5761115406699696E-2</v>
      </c>
      <c r="J41" s="11">
        <v>3.52380055418931E-3</v>
      </c>
      <c r="M41" s="11">
        <v>4.1848822396219596</v>
      </c>
      <c r="N41" s="11">
        <v>8.3371595228720799E-2</v>
      </c>
      <c r="O41" s="11">
        <v>1.11784299799721</v>
      </c>
      <c r="P41" s="11">
        <v>0.111512632007762</v>
      </c>
      <c r="U41" s="11">
        <v>0.26961000004767999</v>
      </c>
      <c r="X41" s="12">
        <v>1384.646418198</v>
      </c>
      <c r="Y41" s="11">
        <v>25.160281226688699</v>
      </c>
      <c r="AA41" s="12">
        <v>1528.7747364105401</v>
      </c>
      <c r="AB41" s="11">
        <v>71.303058819226095</v>
      </c>
    </row>
    <row r="42" spans="1:30" x14ac:dyDescent="0.2">
      <c r="A42" s="11" t="s">
        <v>60</v>
      </c>
      <c r="B42" s="12">
        <v>3.4371152714767002</v>
      </c>
      <c r="C42" s="12">
        <v>8.4190815803040497E-2</v>
      </c>
      <c r="D42" s="12">
        <v>0.25886956732593303</v>
      </c>
      <c r="E42" s="12">
        <v>2.7579298065429198E-3</v>
      </c>
      <c r="F42" s="12">
        <v>0.240339913997205</v>
      </c>
      <c r="G42" s="13">
        <f t="shared" si="0"/>
        <v>97.792309564682128</v>
      </c>
      <c r="H42" s="3">
        <f t="shared" si="1"/>
        <v>2.2076904353178772</v>
      </c>
      <c r="I42" s="11">
        <v>9.52481794583908E-2</v>
      </c>
      <c r="J42" s="11">
        <v>2.2905539566018701E-3</v>
      </c>
      <c r="M42" s="11">
        <v>3.8641121104237199</v>
      </c>
      <c r="N42" s="11">
        <v>4.1316445452698802E-2</v>
      </c>
      <c r="O42" s="11">
        <v>2.3502781569545799</v>
      </c>
      <c r="P42" s="11">
        <v>2.7043220815231299E-2</v>
      </c>
      <c r="U42" s="11">
        <v>0.135873700905081</v>
      </c>
      <c r="X42" s="12">
        <v>1483.71937298532</v>
      </c>
      <c r="Y42" s="11">
        <v>14.1201376172781</v>
      </c>
      <c r="AA42" s="12">
        <v>1517.2147785342499</v>
      </c>
      <c r="AB42" s="11">
        <v>45.702595313483499</v>
      </c>
    </row>
    <row r="43" spans="1:30" x14ac:dyDescent="0.2">
      <c r="A43" s="11" t="s">
        <v>61</v>
      </c>
      <c r="B43" s="12">
        <v>3.1813519254450799</v>
      </c>
      <c r="C43" s="12">
        <v>6.0916580567705401E-2</v>
      </c>
      <c r="D43" s="12">
        <v>0.25132757755130097</v>
      </c>
      <c r="E43" s="12">
        <v>2.28282016566416E-3</v>
      </c>
      <c r="F43" s="12">
        <v>0.25248930318762203</v>
      </c>
      <c r="G43" s="13">
        <f t="shared" si="0"/>
        <v>101.49546786964849</v>
      </c>
      <c r="H43" s="3">
        <f t="shared" si="1"/>
        <v>-1.4954678696484924</v>
      </c>
      <c r="I43" s="11">
        <v>9.0407895107137898E-2</v>
      </c>
      <c r="J43" s="11">
        <v>1.6987224564983E-3</v>
      </c>
      <c r="M43" s="11">
        <v>3.97761251591696</v>
      </c>
      <c r="N43" s="11">
        <v>3.7029372743719799E-2</v>
      </c>
      <c r="O43" s="11">
        <v>3.35083890018432</v>
      </c>
      <c r="P43" s="11">
        <v>0.136610842989876</v>
      </c>
      <c r="U43" s="11">
        <v>0.296766461368281</v>
      </c>
      <c r="X43" s="12">
        <v>1445.0820540377699</v>
      </c>
      <c r="Y43" s="11">
        <v>11.783588033865099</v>
      </c>
      <c r="AA43" s="12">
        <v>1423.7897360044699</v>
      </c>
      <c r="AB43" s="11">
        <v>36.457634133007197</v>
      </c>
    </row>
    <row r="44" spans="1:30" s="5" customFormat="1" x14ac:dyDescent="0.2">
      <c r="A44" s="5" t="s">
        <v>62</v>
      </c>
      <c r="B44" s="5">
        <v>0.52704529532171596</v>
      </c>
      <c r="C44" s="5">
        <v>3.4473107939014203E-2</v>
      </c>
      <c r="D44" s="5">
        <v>1.5377145415986899E-2</v>
      </c>
      <c r="E44" s="5">
        <v>2.01360478522843E-4</v>
      </c>
      <c r="F44" s="5">
        <v>0.62913137429794397</v>
      </c>
      <c r="G44" s="6">
        <f t="shared" si="0"/>
        <v>3.1823904619284438</v>
      </c>
      <c r="H44" s="7">
        <f t="shared" si="1"/>
        <v>96.817609538071565</v>
      </c>
      <c r="I44" s="5">
        <v>0.24444918650163699</v>
      </c>
      <c r="J44" s="5">
        <v>1.36141038595365E-2</v>
      </c>
      <c r="K44" s="8"/>
      <c r="L44" s="8"/>
      <c r="M44" s="5">
        <v>64.972438393542006</v>
      </c>
      <c r="N44" s="5">
        <v>0.86245965695061</v>
      </c>
      <c r="O44" s="5">
        <v>1.1265309872365901</v>
      </c>
      <c r="P44" s="5">
        <v>0.19438241431012701</v>
      </c>
      <c r="R44" s="8"/>
      <c r="T44" s="8"/>
      <c r="U44" s="5">
        <v>-0.37127865714227498</v>
      </c>
      <c r="X44" s="5">
        <v>98.370237488653103</v>
      </c>
      <c r="Y44" s="5">
        <v>1.27781678551226</v>
      </c>
      <c r="AA44" s="5">
        <v>3091.08007535453</v>
      </c>
      <c r="AB44" s="5">
        <v>84.404542307534896</v>
      </c>
      <c r="AC44" s="10"/>
      <c r="AD44" s="8"/>
    </row>
    <row r="45" spans="1:30" x14ac:dyDescent="0.2">
      <c r="A45" s="11" t="s">
        <v>63</v>
      </c>
      <c r="B45" s="12">
        <v>6.8812622304906403</v>
      </c>
      <c r="C45" s="12">
        <v>0.146824399651936</v>
      </c>
      <c r="D45" s="12">
        <v>0.38228786969558698</v>
      </c>
      <c r="E45" s="12">
        <v>4.5587300387587302E-3</v>
      </c>
      <c r="F45" s="12">
        <v>0.417045253688619</v>
      </c>
      <c r="G45" s="13">
        <f t="shared" si="0"/>
        <v>100.84758641794637</v>
      </c>
      <c r="H45" s="3">
        <f t="shared" si="1"/>
        <v>-0.84758641794637768</v>
      </c>
      <c r="I45" s="11">
        <v>0.12882420100825001</v>
      </c>
      <c r="J45" s="11">
        <v>2.5104106405236999E-3</v>
      </c>
      <c r="M45" s="11">
        <v>2.6066350874991899</v>
      </c>
      <c r="N45" s="11">
        <v>2.9763378127131701E-2</v>
      </c>
      <c r="O45" s="11">
        <v>0.96058018845812698</v>
      </c>
      <c r="P45" s="11">
        <v>8.2930662672056205E-3</v>
      </c>
      <c r="U45" s="11">
        <v>0.14107781754086501</v>
      </c>
      <c r="X45" s="12">
        <v>2089.9259179174301</v>
      </c>
      <c r="Y45" s="11">
        <v>19.954778137783901</v>
      </c>
      <c r="AA45" s="12">
        <v>2072.3608686637999</v>
      </c>
      <c r="AB45" s="11">
        <v>34.716549134660397</v>
      </c>
    </row>
    <row r="46" spans="1:30" x14ac:dyDescent="0.2">
      <c r="A46" s="11" t="s">
        <v>64</v>
      </c>
      <c r="B46" s="12">
        <v>2.8884348383074698</v>
      </c>
      <c r="C46" s="12">
        <v>0.1524889597288</v>
      </c>
      <c r="D46" s="12">
        <v>0.230109712836258</v>
      </c>
      <c r="E46" s="12">
        <v>4.2960888456071E-3</v>
      </c>
      <c r="F46" s="12">
        <v>-1.2610487711320799E-2</v>
      </c>
      <c r="G46" s="13">
        <f t="shared" si="0"/>
        <v>96.492474601555941</v>
      </c>
      <c r="H46" s="3">
        <f t="shared" si="1"/>
        <v>3.5075253984440558</v>
      </c>
      <c r="I46" s="11">
        <v>8.9451446288323994E-2</v>
      </c>
      <c r="J46" s="11">
        <v>4.7467359762305098E-3</v>
      </c>
      <c r="M46" s="11">
        <v>4.35679499592427</v>
      </c>
      <c r="N46" s="11">
        <v>8.6672285673365504E-2</v>
      </c>
      <c r="O46" s="11">
        <v>2.14734720805202</v>
      </c>
      <c r="P46" s="11">
        <v>3.9920722272474701E-2</v>
      </c>
      <c r="U46" s="11">
        <v>0.35345950310846302</v>
      </c>
      <c r="X46" s="12">
        <v>1334.2095108470101</v>
      </c>
      <c r="Y46" s="11">
        <v>22.509534836855099</v>
      </c>
      <c r="AA46" s="12">
        <v>1382.7083576790101</v>
      </c>
      <c r="AB46" s="11">
        <v>105.29587247604999</v>
      </c>
    </row>
    <row r="47" spans="1:30" x14ac:dyDescent="0.2">
      <c r="A47" s="11" t="s">
        <v>65</v>
      </c>
      <c r="B47" s="12">
        <v>3.4097321653092298</v>
      </c>
      <c r="C47" s="12">
        <v>0.13042902167897899</v>
      </c>
      <c r="D47" s="12">
        <v>0.25055004628737998</v>
      </c>
      <c r="E47" s="12">
        <v>3.3215379910777501E-3</v>
      </c>
      <c r="F47" s="12">
        <v>0.241601518923939</v>
      </c>
      <c r="G47" s="13">
        <f t="shared" si="0"/>
        <v>92.602601093618063</v>
      </c>
      <c r="H47" s="3">
        <f t="shared" si="1"/>
        <v>7.3973989063819356</v>
      </c>
      <c r="I47" s="11">
        <v>9.8136517968850506E-2</v>
      </c>
      <c r="J47" s="11">
        <v>3.6393104197509499E-3</v>
      </c>
      <c r="M47" s="11">
        <v>3.99801688520686</v>
      </c>
      <c r="N47" s="11">
        <v>5.3196145813592902E-2</v>
      </c>
      <c r="O47" s="11">
        <v>0.69664872511143605</v>
      </c>
      <c r="P47" s="11">
        <v>2.9333373440405701E-2</v>
      </c>
      <c r="U47" s="11">
        <v>5.70879372837148E-2</v>
      </c>
      <c r="X47" s="12">
        <v>1440.8118587387601</v>
      </c>
      <c r="Y47" s="11">
        <v>17.1158010195375</v>
      </c>
      <c r="AA47" s="12">
        <v>1555.9086264565599</v>
      </c>
      <c r="AB47" s="11">
        <v>65.290064204428305</v>
      </c>
    </row>
    <row r="48" spans="1:30" s="5" customFormat="1" x14ac:dyDescent="0.2">
      <c r="A48" s="5" t="s">
        <v>66</v>
      </c>
      <c r="B48" s="5">
        <v>2.95470619953297</v>
      </c>
      <c r="C48" s="5">
        <v>8.6850686310031303E-2</v>
      </c>
      <c r="D48" s="5">
        <v>0.19962628899037499</v>
      </c>
      <c r="E48" s="5">
        <v>2.07944984622773E-3</v>
      </c>
      <c r="F48" s="5">
        <v>0.197879252713587</v>
      </c>
      <c r="G48" s="6">
        <f t="shared" si="0"/>
        <v>68.861922476380002</v>
      </c>
      <c r="H48" s="7">
        <f t="shared" si="1"/>
        <v>31.138077523620002</v>
      </c>
      <c r="I48" s="5">
        <v>0.105671025770849</v>
      </c>
      <c r="J48" s="5">
        <v>3.11183258597635E-3</v>
      </c>
      <c r="K48" s="8"/>
      <c r="L48" s="8"/>
      <c r="M48" s="5">
        <v>5.0104735302041004</v>
      </c>
      <c r="N48" s="5">
        <v>5.2476792922979403E-2</v>
      </c>
      <c r="O48" s="5">
        <v>0.21137769906588499</v>
      </c>
      <c r="P48" s="5">
        <v>3.11955069712572E-3</v>
      </c>
      <c r="R48" s="8"/>
      <c r="T48" s="8"/>
      <c r="U48" s="5">
        <v>0.23525812915417099</v>
      </c>
      <c r="X48" s="5">
        <v>1173.0993929389799</v>
      </c>
      <c r="Y48" s="5">
        <v>11.173335735037901</v>
      </c>
      <c r="AA48" s="5">
        <v>1703.5530678676</v>
      </c>
      <c r="AB48" s="5">
        <v>54.447572559919301</v>
      </c>
      <c r="AC48" s="10"/>
      <c r="AD48" s="8"/>
    </row>
    <row r="49" spans="1:30" s="5" customFormat="1" x14ac:dyDescent="0.2">
      <c r="A49" s="5" t="s">
        <v>67</v>
      </c>
      <c r="B49" s="5">
        <v>2.5130287790986601</v>
      </c>
      <c r="C49" s="5">
        <v>9.2650411066974303E-2</v>
      </c>
      <c r="D49" s="5">
        <v>0.20474392165934399</v>
      </c>
      <c r="E49" s="5">
        <v>2.9747218736905002E-3</v>
      </c>
      <c r="F49" s="5">
        <v>0.14637145318033301</v>
      </c>
      <c r="G49" s="6">
        <f t="shared" si="0"/>
        <v>89.135477240415895</v>
      </c>
      <c r="H49" s="7">
        <f t="shared" si="1"/>
        <v>10.864522759584105</v>
      </c>
      <c r="I49" s="5">
        <v>8.8241391567739996E-2</v>
      </c>
      <c r="J49" s="5">
        <v>3.3218814265713499E-3</v>
      </c>
      <c r="K49" s="8"/>
      <c r="L49" s="8"/>
      <c r="M49" s="5">
        <v>4.8956126537999403</v>
      </c>
      <c r="N49" s="5">
        <v>7.01328625016584E-2</v>
      </c>
      <c r="O49" s="5">
        <v>2.4943594544717</v>
      </c>
      <c r="P49" s="5">
        <v>3.6552267704472403E-2</v>
      </c>
      <c r="R49" s="8"/>
      <c r="T49" s="8"/>
      <c r="U49" s="5">
        <v>0.228202780903457</v>
      </c>
      <c r="X49" s="5">
        <v>1200.3282349272199</v>
      </c>
      <c r="Y49" s="5">
        <v>15.883498561579399</v>
      </c>
      <c r="AA49" s="5">
        <v>1346.6335426574301</v>
      </c>
      <c r="AB49" s="5">
        <v>77.011758314951805</v>
      </c>
      <c r="AC49" s="10"/>
      <c r="AD49" s="8"/>
    </row>
    <row r="50" spans="1:30" s="5" customFormat="1" x14ac:dyDescent="0.2">
      <c r="A50" s="5" t="s">
        <v>68</v>
      </c>
      <c r="B50" s="5">
        <v>4.4864172209675299</v>
      </c>
      <c r="C50" s="5">
        <v>9.2019950779638301E-2</v>
      </c>
      <c r="D50" s="5">
        <v>0.27725155737809398</v>
      </c>
      <c r="E50" s="5">
        <v>4.0418478397170202E-3</v>
      </c>
      <c r="F50" s="5">
        <v>0.65620480164212203</v>
      </c>
      <c r="G50" s="6">
        <f t="shared" si="0"/>
        <v>83.519147993976588</v>
      </c>
      <c r="H50" s="7">
        <f t="shared" si="1"/>
        <v>16.480852006023415</v>
      </c>
      <c r="I50" s="5">
        <v>0.115987819545451</v>
      </c>
      <c r="J50" s="5">
        <v>1.89621266806637E-3</v>
      </c>
      <c r="K50" s="8"/>
      <c r="L50" s="8"/>
      <c r="M50" s="5">
        <v>3.6151588977507401</v>
      </c>
      <c r="N50" s="5">
        <v>5.0520352159700403E-2</v>
      </c>
      <c r="O50" s="5">
        <v>1.72600743152727</v>
      </c>
      <c r="P50" s="5">
        <v>9.2437332672403894E-2</v>
      </c>
      <c r="R50" s="8"/>
      <c r="T50" s="8"/>
      <c r="U50" s="5">
        <v>0.17732950578283899</v>
      </c>
      <c r="X50" s="5">
        <v>1576.80057871844</v>
      </c>
      <c r="Y50" s="5">
        <v>20.291263586242099</v>
      </c>
      <c r="AA50" s="5">
        <v>1887.95098679905</v>
      </c>
      <c r="AB50" s="5">
        <v>29.7764491982138</v>
      </c>
      <c r="AC50" s="10"/>
      <c r="AD50" s="8"/>
    </row>
    <row r="51" spans="1:30" s="5" customFormat="1" x14ac:dyDescent="0.2">
      <c r="A51" s="5" t="s">
        <v>69</v>
      </c>
      <c r="B51" s="5">
        <v>3.7257092370549301</v>
      </c>
      <c r="C51" s="5">
        <v>0.463740493117414</v>
      </c>
      <c r="D51" s="5">
        <v>0.20544712342976901</v>
      </c>
      <c r="E51" s="5">
        <v>9.7549950536522899E-3</v>
      </c>
      <c r="F51" s="5">
        <v>0.82296204513229398</v>
      </c>
      <c r="G51" s="6">
        <f t="shared" si="0"/>
        <v>60.168899273423612</v>
      </c>
      <c r="H51" s="7">
        <f t="shared" si="1"/>
        <v>39.831100726576388</v>
      </c>
      <c r="I51" s="5">
        <v>0.12719007622057801</v>
      </c>
      <c r="J51" s="5">
        <v>9.7824211229173702E-3</v>
      </c>
      <c r="K51" s="8"/>
      <c r="L51" s="8"/>
      <c r="M51" s="5">
        <v>5.0404269040682399</v>
      </c>
      <c r="N51" s="5">
        <v>0.25616655775776198</v>
      </c>
      <c r="O51" s="5">
        <v>0.443033647011918</v>
      </c>
      <c r="P51" s="5">
        <v>4.50225762412544E-2</v>
      </c>
      <c r="R51" s="8"/>
      <c r="T51" s="8"/>
      <c r="U51" s="5">
        <v>-0.44514442221217898</v>
      </c>
      <c r="X51" s="5">
        <v>1199.9126250945701</v>
      </c>
      <c r="Y51" s="5">
        <v>51.8434528304061</v>
      </c>
      <c r="AA51" s="5">
        <v>1994.2406119843499</v>
      </c>
      <c r="AB51" s="5">
        <v>125.44611133119</v>
      </c>
      <c r="AC51" s="10"/>
      <c r="AD51" s="8"/>
    </row>
    <row r="52" spans="1:30" s="5" customFormat="1" x14ac:dyDescent="0.2">
      <c r="A52" s="5" t="s">
        <v>70</v>
      </c>
      <c r="B52" s="5">
        <v>3.0278136966579901</v>
      </c>
      <c r="C52" s="5">
        <v>7.4642331498096501E-2</v>
      </c>
      <c r="D52" s="5">
        <v>0.23045648191002099</v>
      </c>
      <c r="E52" s="5">
        <v>3.29956562333942E-3</v>
      </c>
      <c r="F52" s="5">
        <v>0.26162919397453999</v>
      </c>
      <c r="G52" s="6">
        <f t="shared" si="0"/>
        <v>89.419091536647372</v>
      </c>
      <c r="H52" s="7">
        <f t="shared" si="1"/>
        <v>10.580908463352623</v>
      </c>
      <c r="I52" s="5">
        <v>9.3709213570965899E-2</v>
      </c>
      <c r="J52" s="5">
        <v>2.1771874500243998E-3</v>
      </c>
      <c r="K52" s="8"/>
      <c r="L52" s="8"/>
      <c r="M52" s="5">
        <v>4.3397094981205599</v>
      </c>
      <c r="N52" s="5">
        <v>6.5609830760562898E-2</v>
      </c>
      <c r="O52" s="5">
        <v>0.94104934477038404</v>
      </c>
      <c r="P52" s="5">
        <v>5.2562708945386699E-2</v>
      </c>
      <c r="R52" s="8"/>
      <c r="T52" s="8"/>
      <c r="U52" s="5">
        <v>0.30566495560212098</v>
      </c>
      <c r="X52" s="5">
        <v>1336.38671539745</v>
      </c>
      <c r="Y52" s="5">
        <v>17.294148106396399</v>
      </c>
      <c r="AA52" s="5">
        <v>1494.52056874202</v>
      </c>
      <c r="AB52" s="5">
        <v>46.433804349133098</v>
      </c>
      <c r="AC52" s="10"/>
      <c r="AD52" s="8"/>
    </row>
    <row r="53" spans="1:30" x14ac:dyDescent="0.2">
      <c r="A53" s="11" t="s">
        <v>71</v>
      </c>
      <c r="B53" s="12">
        <v>3.1945559614326999</v>
      </c>
      <c r="C53" s="12">
        <v>8.7845825111011897E-2</v>
      </c>
      <c r="D53" s="12">
        <v>0.24606572872108701</v>
      </c>
      <c r="E53" s="12">
        <v>3.2963763399712102E-3</v>
      </c>
      <c r="F53" s="12">
        <v>6.9571691606229794E-2</v>
      </c>
      <c r="G53" s="13">
        <f t="shared" si="0"/>
        <v>95.960338842552488</v>
      </c>
      <c r="H53" s="3">
        <f t="shared" si="1"/>
        <v>4.0396611574475045</v>
      </c>
      <c r="I53" s="11">
        <v>9.2619256968462099E-2</v>
      </c>
      <c r="J53" s="11">
        <v>2.5959441494744001E-3</v>
      </c>
      <c r="M53" s="11">
        <v>4.0537842559192203</v>
      </c>
      <c r="N53" s="11">
        <v>5.4296471778717E-2</v>
      </c>
      <c r="O53" s="11">
        <v>1.80941970623462</v>
      </c>
      <c r="P53" s="11">
        <v>9.8047656522468704E-2</v>
      </c>
      <c r="U53" s="11">
        <v>0.38945761593665301</v>
      </c>
      <c r="X53" s="12">
        <v>1417.65828677635</v>
      </c>
      <c r="Y53" s="11">
        <v>17.0468956980766</v>
      </c>
      <c r="AA53" s="12">
        <v>1477.33772501823</v>
      </c>
      <c r="AB53" s="11">
        <v>54.279137131166699</v>
      </c>
    </row>
    <row r="54" spans="1:30" s="5" customFormat="1" x14ac:dyDescent="0.2">
      <c r="A54" s="5" t="s">
        <v>72</v>
      </c>
      <c r="B54" s="5">
        <v>4.0106797757130801</v>
      </c>
      <c r="C54" s="5">
        <v>0.24084519155214701</v>
      </c>
      <c r="D54" s="5">
        <v>0.253740196453421</v>
      </c>
      <c r="E54" s="5">
        <v>4.3841095410679098E-3</v>
      </c>
      <c r="F54" s="5">
        <v>0.42139192962114203</v>
      </c>
      <c r="G54" s="6">
        <f t="shared" si="0"/>
        <v>80.532138082861678</v>
      </c>
      <c r="H54" s="7">
        <f>(1-(X54/AA54))*100</f>
        <v>19.467861917138318</v>
      </c>
      <c r="I54" s="5">
        <v>0.11317771732281599</v>
      </c>
      <c r="J54" s="5">
        <v>6.2384505037110299E-3</v>
      </c>
      <c r="K54" s="8"/>
      <c r="L54" s="8"/>
      <c r="M54" s="5">
        <v>3.94521945416755</v>
      </c>
      <c r="N54" s="5">
        <v>6.58653775040655E-2</v>
      </c>
      <c r="O54" s="5">
        <v>1.8857107906350401</v>
      </c>
      <c r="P54" s="5">
        <v>6.2789735333907595E-2</v>
      </c>
      <c r="R54" s="8"/>
      <c r="T54" s="8"/>
      <c r="U54" s="5">
        <v>-0.21022408093398001</v>
      </c>
      <c r="X54" s="5">
        <v>1456.87691347686</v>
      </c>
      <c r="Y54" s="5">
        <v>22.572659484352599</v>
      </c>
      <c r="AA54" s="5">
        <v>1809.0627520380001</v>
      </c>
      <c r="AB54" s="5">
        <v>96.879712390776106</v>
      </c>
      <c r="AC54" s="10"/>
      <c r="AD54" s="8"/>
    </row>
    <row r="55" spans="1:30" s="5" customFormat="1" x14ac:dyDescent="0.2">
      <c r="A55" s="5" t="s">
        <v>73</v>
      </c>
      <c r="B55" s="5">
        <v>2.7048099685353999</v>
      </c>
      <c r="C55" s="5">
        <v>0.12523404446419201</v>
      </c>
      <c r="D55" s="5">
        <v>0.21300402372344401</v>
      </c>
      <c r="E55" s="5">
        <v>3.5639764411046601E-3</v>
      </c>
      <c r="F55" s="5">
        <v>0.33037949835312902</v>
      </c>
      <c r="G55" s="6">
        <f t="shared" si="0"/>
        <v>88.53851164181242</v>
      </c>
      <c r="H55" s="7">
        <f t="shared" si="1"/>
        <v>11.461488358187577</v>
      </c>
      <c r="I55" s="5">
        <v>8.9910112531688596E-2</v>
      </c>
      <c r="J55" s="5">
        <v>3.68396049797184E-3</v>
      </c>
      <c r="K55" s="8"/>
      <c r="L55" s="8"/>
      <c r="M55" s="5">
        <v>4.6986674181019001</v>
      </c>
      <c r="N55" s="5">
        <v>7.8817302558278096E-2</v>
      </c>
      <c r="O55" s="5">
        <v>0.42018671761738202</v>
      </c>
      <c r="P55" s="5">
        <v>4.0085797720767202E-2</v>
      </c>
      <c r="R55" s="8"/>
      <c r="T55" s="8"/>
      <c r="U55" s="5">
        <v>4.0289518858654802E-3</v>
      </c>
      <c r="X55" s="5">
        <v>1244.1954088599</v>
      </c>
      <c r="Y55" s="5">
        <v>18.8211353242447</v>
      </c>
      <c r="AA55" s="5">
        <v>1405.2590062653901</v>
      </c>
      <c r="AB55" s="5">
        <v>83.577415267647396</v>
      </c>
      <c r="AC55" s="10"/>
      <c r="AD55" s="8"/>
    </row>
    <row r="57" spans="1:30" s="1" customFormat="1" x14ac:dyDescent="0.2">
      <c r="B57" s="2"/>
      <c r="C57" s="2"/>
      <c r="D57" s="2"/>
      <c r="E57" s="2"/>
      <c r="F57" s="2"/>
      <c r="H57" s="3"/>
      <c r="X57" s="2"/>
      <c r="AA57" s="2"/>
      <c r="AC57" s="4"/>
    </row>
    <row r="73" spans="2:29" s="1" customFormat="1" x14ac:dyDescent="0.2">
      <c r="B73" s="2"/>
      <c r="C73" s="2"/>
      <c r="D73" s="2"/>
      <c r="E73" s="2"/>
      <c r="F73" s="2"/>
      <c r="H73" s="3"/>
      <c r="X73" s="2"/>
      <c r="AA73" s="2"/>
      <c r="AC73" s="4"/>
    </row>
    <row r="81" spans="2:29" s="1" customFormat="1" x14ac:dyDescent="0.2">
      <c r="B81" s="2"/>
      <c r="C81" s="2"/>
      <c r="D81" s="2"/>
      <c r="E81" s="2"/>
      <c r="F81" s="2"/>
      <c r="H81" s="3"/>
      <c r="X81" s="2"/>
      <c r="AA81" s="2"/>
      <c r="AC81" s="4"/>
    </row>
    <row r="95" spans="2:29" s="1" customFormat="1" x14ac:dyDescent="0.2">
      <c r="B95" s="2"/>
      <c r="C95" s="2"/>
      <c r="D95" s="2"/>
      <c r="E95" s="2"/>
      <c r="F95" s="2"/>
      <c r="H95" s="3"/>
      <c r="X95" s="2"/>
      <c r="AA95" s="2"/>
      <c r="AC95" s="4"/>
    </row>
    <row r="109" spans="2:29" s="1" customFormat="1" x14ac:dyDescent="0.2">
      <c r="B109" s="2"/>
      <c r="C109" s="2"/>
      <c r="D109" s="2"/>
      <c r="E109" s="2"/>
      <c r="F109" s="2"/>
      <c r="H109" s="3"/>
      <c r="X109" s="2"/>
      <c r="AA109" s="2"/>
      <c r="AC10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9F79-2174-DC4B-BEA0-CD278ED4BE64}">
  <dimension ref="A1:AG118"/>
  <sheetViews>
    <sheetView showRuler="0" topLeftCell="L1" workbookViewId="0">
      <selection activeCell="Q3" sqref="Q3:R57"/>
    </sheetView>
  </sheetViews>
  <sheetFormatPr baseColWidth="10" defaultColWidth="8.83203125" defaultRowHeight="16" x14ac:dyDescent="0.2"/>
  <cols>
    <col min="1" max="1" width="14.33203125" style="18" bestFit="1" customWidth="1"/>
    <col min="2" max="2" width="8.83203125" style="18"/>
    <col min="3" max="3" width="21.83203125" style="18" bestFit="1" customWidth="1"/>
    <col min="4" max="4" width="23.6640625" style="18" bestFit="1" customWidth="1"/>
    <col min="5" max="5" width="25.33203125" style="19" bestFit="1" customWidth="1"/>
    <col min="6" max="6" width="27.33203125" style="19" bestFit="1" customWidth="1"/>
    <col min="7" max="7" width="21.83203125" style="18" bestFit="1" customWidth="1"/>
    <col min="8" max="8" width="23.6640625" style="18" bestFit="1" customWidth="1"/>
    <col min="9" max="9" width="25.33203125" style="19" bestFit="1" customWidth="1"/>
    <col min="10" max="10" width="27.33203125" style="19" bestFit="1" customWidth="1"/>
    <col min="11" max="11" width="22.5" style="18" bestFit="1" customWidth="1"/>
    <col min="12" max="12" width="24.33203125" style="18" bestFit="1" customWidth="1"/>
    <col min="13" max="13" width="26" style="18" bestFit="1" customWidth="1"/>
    <col min="14" max="14" width="28" style="18" bestFit="1" customWidth="1"/>
    <col min="15" max="15" width="22.5" style="18" bestFit="1" customWidth="1"/>
    <col min="16" max="16" width="24.33203125" style="18" bestFit="1" customWidth="1"/>
    <col min="17" max="17" width="26" style="19" bestFit="1" customWidth="1"/>
    <col min="18" max="18" width="28" style="19" bestFit="1" customWidth="1"/>
    <col min="19" max="19" width="21.83203125" style="18" bestFit="1" customWidth="1"/>
    <col min="20" max="20" width="23.6640625" style="18" bestFit="1" customWidth="1"/>
    <col min="21" max="21" width="15.5" style="18" bestFit="1" customWidth="1"/>
    <col min="22" max="22" width="17.5" style="18" bestFit="1" customWidth="1"/>
    <col min="23" max="23" width="19.83203125" style="18" bestFit="1" customWidth="1"/>
    <col min="24" max="24" width="21.83203125" style="18" bestFit="1" customWidth="1"/>
    <col min="25" max="25" width="20.5" style="18" bestFit="1" customWidth="1"/>
    <col min="26" max="26" width="22.5" style="18" bestFit="1" customWidth="1"/>
    <col min="27" max="27" width="20.5" style="18" bestFit="1" customWidth="1"/>
    <col min="28" max="28" width="22.5" style="18" bestFit="1" customWidth="1"/>
    <col min="29" max="29" width="8.83203125" style="18"/>
    <col min="30" max="30" width="27.83203125" style="18" bestFit="1" customWidth="1"/>
    <col min="31" max="31" width="27.1640625" style="18" bestFit="1" customWidth="1"/>
    <col min="32" max="16384" width="8.83203125" style="18"/>
  </cols>
  <sheetData>
    <row r="1" spans="1:33" s="16" customFormat="1" x14ac:dyDescent="0.2">
      <c r="B1" s="16" t="s">
        <v>74</v>
      </c>
      <c r="C1" s="16" t="s">
        <v>2</v>
      </c>
      <c r="D1" s="16" t="s">
        <v>3</v>
      </c>
      <c r="E1" s="17" t="s">
        <v>14</v>
      </c>
      <c r="F1" s="17" t="s">
        <v>15</v>
      </c>
      <c r="G1" s="16" t="s">
        <v>0</v>
      </c>
      <c r="H1" s="16" t="s">
        <v>1</v>
      </c>
      <c r="I1" s="17" t="s">
        <v>75</v>
      </c>
      <c r="J1" s="17" t="s">
        <v>76</v>
      </c>
      <c r="K1" s="16" t="s">
        <v>77</v>
      </c>
      <c r="L1" s="16" t="s">
        <v>78</v>
      </c>
      <c r="M1" s="16" t="s">
        <v>79</v>
      </c>
      <c r="N1" s="16" t="s">
        <v>80</v>
      </c>
      <c r="O1" s="16" t="s">
        <v>7</v>
      </c>
      <c r="P1" s="16" t="s">
        <v>8</v>
      </c>
      <c r="Q1" s="17" t="s">
        <v>16</v>
      </c>
      <c r="R1" s="17" t="s">
        <v>17</v>
      </c>
      <c r="S1" s="16" t="s">
        <v>9</v>
      </c>
      <c r="T1" s="16" t="s">
        <v>10</v>
      </c>
      <c r="U1" s="16" t="s">
        <v>11</v>
      </c>
      <c r="V1" s="16" t="s">
        <v>12</v>
      </c>
      <c r="W1" s="16" t="s">
        <v>81</v>
      </c>
      <c r="X1" s="16" t="s">
        <v>82</v>
      </c>
      <c r="Y1" s="16" t="s">
        <v>83</v>
      </c>
      <c r="Z1" s="16" t="s">
        <v>84</v>
      </c>
      <c r="AA1" s="16" t="s">
        <v>85</v>
      </c>
      <c r="AB1" s="16" t="s">
        <v>86</v>
      </c>
      <c r="AD1" s="16" t="s">
        <v>13</v>
      </c>
      <c r="AE1" s="16" t="s">
        <v>4</v>
      </c>
      <c r="AG1" s="16" t="s">
        <v>87</v>
      </c>
    </row>
    <row r="2" spans="1:33" s="16" customFormat="1" x14ac:dyDescent="0.2">
      <c r="A2" s="16" t="s">
        <v>88</v>
      </c>
      <c r="E2" s="17"/>
      <c r="F2" s="17"/>
      <c r="I2" s="17"/>
      <c r="J2" s="17"/>
      <c r="Q2" s="17"/>
      <c r="R2" s="17"/>
    </row>
    <row r="3" spans="1:33" x14ac:dyDescent="0.2">
      <c r="A3" s="18" t="s">
        <v>89</v>
      </c>
      <c r="B3" s="18" t="s">
        <v>90</v>
      </c>
      <c r="C3" s="18">
        <v>0.231700732957484</v>
      </c>
      <c r="D3" s="18">
        <v>2.5082841930270101E-3</v>
      </c>
      <c r="E3" s="19">
        <v>1342.90336145117</v>
      </c>
      <c r="F3" s="19">
        <v>13.163697811587101</v>
      </c>
      <c r="G3" s="18">
        <v>2.84116520717834</v>
      </c>
      <c r="H3" s="18">
        <v>6.0807642634262402E-2</v>
      </c>
      <c r="I3" s="19">
        <v>1365.7536475825</v>
      </c>
      <c r="J3" s="19">
        <v>15.946233225152101</v>
      </c>
      <c r="K3" s="18">
        <v>5.6574461566074999E-2</v>
      </c>
      <c r="L3" s="18">
        <v>4.24815077952349E-3</v>
      </c>
      <c r="M3" s="18">
        <v>1106.17882706092</v>
      </c>
      <c r="N3" s="18">
        <v>81.414738013157901</v>
      </c>
      <c r="O3" s="18">
        <v>8.8746074729222496E-2</v>
      </c>
      <c r="P3" s="18">
        <v>1.8337684255800399E-3</v>
      </c>
      <c r="Q3" s="19">
        <v>1378.4014013328699</v>
      </c>
      <c r="R3" s="19">
        <v>39.796553456388402</v>
      </c>
      <c r="S3" s="18">
        <v>4.3266390844939897</v>
      </c>
      <c r="T3" s="18">
        <v>4.8779730130380297E-2</v>
      </c>
      <c r="U3" s="18">
        <v>2.6407902403870098</v>
      </c>
      <c r="V3" s="18">
        <v>0.17083651691857399</v>
      </c>
      <c r="W3" s="18">
        <v>81.394279645298099</v>
      </c>
      <c r="X3" s="18">
        <v>1.44996724652686</v>
      </c>
      <c r="Y3" s="18">
        <v>39.001955009382797</v>
      </c>
      <c r="Z3" s="18">
        <v>4.3215014989295302</v>
      </c>
      <c r="AA3" s="18">
        <v>16.5349960612809</v>
      </c>
      <c r="AB3" s="18">
        <v>0.69630936311276903</v>
      </c>
      <c r="AD3" s="18">
        <v>0.113687816311074</v>
      </c>
      <c r="AE3" s="18">
        <v>0.34233637702442399</v>
      </c>
      <c r="AG3" s="18">
        <f>(1-(E3/Q3))*100</f>
        <v>2.5753049762844427</v>
      </c>
    </row>
    <row r="4" spans="1:33" x14ac:dyDescent="0.2">
      <c r="A4" s="18" t="s">
        <v>91</v>
      </c>
      <c r="B4" s="18" t="s">
        <v>90</v>
      </c>
      <c r="C4" s="18">
        <v>0.21293447165094101</v>
      </c>
      <c r="D4" s="18">
        <v>1.8349470711639701E-3</v>
      </c>
      <c r="E4" s="19">
        <v>1244.15663340068</v>
      </c>
      <c r="F4" s="19">
        <v>9.7351653581307396</v>
      </c>
      <c r="G4" s="18">
        <v>2.4597362264693801</v>
      </c>
      <c r="H4" s="18">
        <v>4.5871839137261901E-2</v>
      </c>
      <c r="I4" s="19">
        <v>1256.99362054484</v>
      </c>
      <c r="J4" s="19">
        <v>13.3086324302779</v>
      </c>
      <c r="K4" s="18">
        <v>1.63159923209035E-2</v>
      </c>
      <c r="L4" s="18">
        <v>1.35633445428913E-3</v>
      </c>
      <c r="M4" s="18">
        <v>326.44706886446397</v>
      </c>
      <c r="N4" s="18">
        <v>26.946260550390299</v>
      </c>
      <c r="O4" s="18">
        <v>8.3634408026571294E-2</v>
      </c>
      <c r="P4" s="18">
        <v>1.52546831900962E-3</v>
      </c>
      <c r="Q4" s="19">
        <v>1272.1166112246001</v>
      </c>
      <c r="R4" s="19">
        <v>35.093705928921999</v>
      </c>
      <c r="S4" s="18">
        <v>4.6947770733366196</v>
      </c>
      <c r="T4" s="18">
        <v>4.08536024620628E-2</v>
      </c>
      <c r="U4" s="18">
        <v>1.5281976275039899</v>
      </c>
      <c r="V4" s="18">
        <v>0.16303989124589</v>
      </c>
      <c r="W4" s="18">
        <v>128.33500065875299</v>
      </c>
      <c r="X4" s="18">
        <v>9.2741248670422909</v>
      </c>
      <c r="Y4" s="18">
        <v>113.940124587564</v>
      </c>
      <c r="Z4" s="18">
        <v>9.1067337222607705</v>
      </c>
      <c r="AA4" s="18">
        <v>14.4060116295606</v>
      </c>
      <c r="AB4" s="18">
        <v>0.59272189167656497</v>
      </c>
      <c r="AD4" s="18">
        <v>8.5824355097188304E-2</v>
      </c>
      <c r="AE4" s="18">
        <v>0.35560051674140303</v>
      </c>
      <c r="AG4" s="18">
        <f t="shared" ref="AG4:AG67" si="0">(1-(E4/Q4))*100</f>
        <v>2.1979099696689319</v>
      </c>
    </row>
    <row r="5" spans="1:33" s="20" customFormat="1" x14ac:dyDescent="0.2">
      <c r="A5" s="20" t="s">
        <v>92</v>
      </c>
      <c r="B5" s="20" t="s">
        <v>90</v>
      </c>
      <c r="C5" s="20">
        <v>0.13783952637348701</v>
      </c>
      <c r="D5" s="20">
        <v>2.41949064025376E-3</v>
      </c>
      <c r="E5" s="20">
        <v>832.19834171761499</v>
      </c>
      <c r="F5" s="20">
        <v>13.6560631410157</v>
      </c>
      <c r="G5" s="20">
        <v>2.38370745832797</v>
      </c>
      <c r="H5" s="20">
        <v>0.267507192834394</v>
      </c>
      <c r="I5" s="20">
        <v>1195.904016917</v>
      </c>
      <c r="J5" s="20">
        <v>68.797463822327998</v>
      </c>
      <c r="K5" s="20">
        <v>1.8129086954413301E-2</v>
      </c>
      <c r="L5" s="20">
        <v>3.11090282958643E-3</v>
      </c>
      <c r="M5" s="20">
        <v>361.63024446930302</v>
      </c>
      <c r="N5" s="20">
        <v>61.281967107341302</v>
      </c>
      <c r="O5" s="20">
        <v>0.122356418598544</v>
      </c>
      <c r="P5" s="20">
        <v>1.12265057634295E-2</v>
      </c>
      <c r="Q5" s="20">
        <v>1894.93193250318</v>
      </c>
      <c r="R5" s="20">
        <v>147.25630305399801</v>
      </c>
      <c r="S5" s="20">
        <v>7.25259490817737</v>
      </c>
      <c r="T5" s="20">
        <v>0.12857748223132601</v>
      </c>
      <c r="U5" s="20">
        <v>0.70485085868422104</v>
      </c>
      <c r="V5" s="20">
        <v>2.1563672167873301E-2</v>
      </c>
      <c r="W5" s="20">
        <v>1412.54012088028</v>
      </c>
      <c r="X5" s="20">
        <v>29.452855596473398</v>
      </c>
      <c r="Y5" s="20">
        <v>1994.7408478059001</v>
      </c>
      <c r="Z5" s="20">
        <v>49.946879971997703</v>
      </c>
      <c r="AA5" s="20">
        <v>361.926738649117</v>
      </c>
      <c r="AB5" s="20">
        <v>75.560434930052693</v>
      </c>
      <c r="AD5" s="20">
        <v>-0.82297882788500298</v>
      </c>
      <c r="AE5" s="20">
        <v>0.88870092078856</v>
      </c>
      <c r="AG5" s="20">
        <f t="shared" si="0"/>
        <v>56.082942746218222</v>
      </c>
    </row>
    <row r="6" spans="1:33" x14ac:dyDescent="0.2">
      <c r="A6" s="18" t="s">
        <v>93</v>
      </c>
      <c r="B6" s="18" t="s">
        <v>90</v>
      </c>
      <c r="C6" s="18">
        <v>0.235067093560652</v>
      </c>
      <c r="D6" s="18">
        <v>2.2897222182982901E-3</v>
      </c>
      <c r="E6" s="19">
        <v>1360.58116492062</v>
      </c>
      <c r="F6" s="19">
        <v>11.989667335191101</v>
      </c>
      <c r="G6" s="18">
        <v>2.9139020037357302</v>
      </c>
      <c r="H6" s="18">
        <v>6.7561157104821495E-2</v>
      </c>
      <c r="I6" s="19">
        <v>1383.9296283720701</v>
      </c>
      <c r="J6" s="19">
        <v>18.1101602508922</v>
      </c>
      <c r="K6" s="18">
        <v>7.9180035300449703E-2</v>
      </c>
      <c r="L6" s="18">
        <v>2.9903487900735199E-3</v>
      </c>
      <c r="M6" s="18">
        <v>1537.29668986204</v>
      </c>
      <c r="N6" s="18">
        <v>55.680132793292202</v>
      </c>
      <c r="O6" s="18">
        <v>9.04857135911145E-2</v>
      </c>
      <c r="P6" s="18">
        <v>2.0622416531120599E-3</v>
      </c>
      <c r="Q6" s="19">
        <v>1417.6944676445501</v>
      </c>
      <c r="R6" s="19">
        <v>41.794452444255597</v>
      </c>
      <c r="S6" s="18">
        <v>4.2493849276432503</v>
      </c>
      <c r="T6" s="18">
        <v>4.27107189179265E-2</v>
      </c>
      <c r="U6" s="18">
        <v>3.9634244250204</v>
      </c>
      <c r="V6" s="18">
        <v>4.6491182550935199E-2</v>
      </c>
      <c r="W6" s="18">
        <v>87.813670409843496</v>
      </c>
      <c r="X6" s="18">
        <v>3.1752883784178301</v>
      </c>
      <c r="Y6" s="18">
        <v>22.048876566403202</v>
      </c>
      <c r="Z6" s="18">
        <v>0.72300869256517797</v>
      </c>
      <c r="AA6" s="18">
        <v>17.223588156347201</v>
      </c>
      <c r="AB6" s="18">
        <v>0.78743507694845505</v>
      </c>
      <c r="AD6" s="18">
        <v>0.106377805117714</v>
      </c>
      <c r="AE6" s="18">
        <v>0.32252501858358801</v>
      </c>
      <c r="AG6" s="18">
        <f t="shared" si="0"/>
        <v>4.0286044720779461</v>
      </c>
    </row>
    <row r="7" spans="1:33" x14ac:dyDescent="0.2">
      <c r="A7" s="18" t="s">
        <v>94</v>
      </c>
      <c r="B7" s="18" t="s">
        <v>90</v>
      </c>
      <c r="C7" s="18">
        <v>0.21708179917583401</v>
      </c>
      <c r="D7" s="18">
        <v>1.79989577819E-3</v>
      </c>
      <c r="E7" s="19">
        <v>1266.1712614698199</v>
      </c>
      <c r="F7" s="19">
        <v>9.5213339794831899</v>
      </c>
      <c r="G7" s="18">
        <v>2.4501394005038102</v>
      </c>
      <c r="H7" s="18">
        <v>5.60216846603823E-2</v>
      </c>
      <c r="I7" s="19">
        <v>1256.1701635245499</v>
      </c>
      <c r="J7" s="19">
        <v>17.4253508039676</v>
      </c>
      <c r="K7" s="18">
        <v>6.8026936758761702E-2</v>
      </c>
      <c r="L7" s="18">
        <v>1.88872065929537E-3</v>
      </c>
      <c r="M7" s="18">
        <v>1329.03391796347</v>
      </c>
      <c r="N7" s="18">
        <v>35.736581883701902</v>
      </c>
      <c r="O7" s="18">
        <v>8.2192871191745204E-2</v>
      </c>
      <c r="P7" s="18">
        <v>1.91599128820901E-3</v>
      </c>
      <c r="Q7" s="19">
        <v>1223.10160002975</v>
      </c>
      <c r="R7" s="19">
        <v>46.465459418735797</v>
      </c>
      <c r="S7" s="18">
        <v>4.6044020716087903</v>
      </c>
      <c r="T7" s="18">
        <v>3.8914346030783802E-2</v>
      </c>
      <c r="U7" s="18">
        <v>2.3800414343947098</v>
      </c>
      <c r="V7" s="18">
        <v>2.6806574860354499E-2</v>
      </c>
      <c r="W7" s="18">
        <v>59.167430509829202</v>
      </c>
      <c r="X7" s="18">
        <v>0.72093051880733605</v>
      </c>
      <c r="Y7" s="18">
        <v>24.811721511765398</v>
      </c>
      <c r="Z7" s="18">
        <v>0.47200440472323701</v>
      </c>
      <c r="AA7" s="18">
        <v>16.728877671512901</v>
      </c>
      <c r="AB7" s="18">
        <v>0.51678717201577895</v>
      </c>
      <c r="AD7" s="18">
        <v>8.8782480797206006E-2</v>
      </c>
      <c r="AE7" s="18">
        <v>0.27422174054992698</v>
      </c>
      <c r="AG7" s="18">
        <f t="shared" si="0"/>
        <v>-3.5213478127264608</v>
      </c>
    </row>
    <row r="8" spans="1:33" x14ac:dyDescent="0.2">
      <c r="A8" s="18" t="s">
        <v>95</v>
      </c>
      <c r="B8" s="18" t="s">
        <v>90</v>
      </c>
      <c r="C8" s="18">
        <v>0.22801871705634699</v>
      </c>
      <c r="D8" s="18">
        <v>2.8886365190123301E-3</v>
      </c>
      <c r="E8" s="19">
        <v>1323.43541327299</v>
      </c>
      <c r="F8" s="19">
        <v>15.133556491217201</v>
      </c>
      <c r="G8" s="18">
        <v>2.7007066123747099</v>
      </c>
      <c r="H8" s="18">
        <v>8.9592448381048406E-2</v>
      </c>
      <c r="I8" s="19">
        <v>1317.2384286701899</v>
      </c>
      <c r="J8" s="19">
        <v>24.944964700327802</v>
      </c>
      <c r="K8" s="18">
        <v>6.7752177804476801E-2</v>
      </c>
      <c r="L8" s="18">
        <v>2.74227258547436E-3</v>
      </c>
      <c r="M8" s="18">
        <v>1322.5136585816001</v>
      </c>
      <c r="N8" s="18">
        <v>51.851622038540597</v>
      </c>
      <c r="O8" s="18">
        <v>8.6458676260602205E-2</v>
      </c>
      <c r="P8" s="18">
        <v>2.9796204172301299E-3</v>
      </c>
      <c r="Q8" s="19">
        <v>1316.00115925</v>
      </c>
      <c r="R8" s="19">
        <v>67.496210142268197</v>
      </c>
      <c r="S8" s="18">
        <v>4.3943849102146704</v>
      </c>
      <c r="T8" s="18">
        <v>5.2949679349094801E-2</v>
      </c>
      <c r="U8" s="18">
        <v>2.3591070864734101</v>
      </c>
      <c r="V8" s="18">
        <v>2.87851153129896E-2</v>
      </c>
      <c r="W8" s="18">
        <v>26.744031615794999</v>
      </c>
      <c r="X8" s="18">
        <v>0.69064991906792905</v>
      </c>
      <c r="Y8" s="18">
        <v>11.3210069418878</v>
      </c>
      <c r="Z8" s="18">
        <v>0.313194634966171</v>
      </c>
      <c r="AA8" s="18">
        <v>7.4886851041638698</v>
      </c>
      <c r="AB8" s="18">
        <v>0.32919130121451601</v>
      </c>
      <c r="AD8" s="18">
        <v>0.26011378759286202</v>
      </c>
      <c r="AE8" s="18">
        <v>8.8922025143144207E-2</v>
      </c>
      <c r="AG8" s="18">
        <f t="shared" si="0"/>
        <v>-0.56491242205491954</v>
      </c>
    </row>
    <row r="9" spans="1:33" x14ac:dyDescent="0.2">
      <c r="A9" s="18" t="s">
        <v>96</v>
      </c>
      <c r="B9" s="18" t="s">
        <v>90</v>
      </c>
      <c r="C9" s="18">
        <v>0.33791586315223698</v>
      </c>
      <c r="D9" s="18">
        <v>2.7709940418073902E-3</v>
      </c>
      <c r="E9" s="19">
        <v>1876.1503467980001</v>
      </c>
      <c r="F9" s="19">
        <v>13.3770831246255</v>
      </c>
      <c r="G9" s="18">
        <v>5.7010361916794201</v>
      </c>
      <c r="H9" s="18">
        <v>0.10870122594807501</v>
      </c>
      <c r="I9" s="19">
        <v>1926.90516575527</v>
      </c>
      <c r="J9" s="19">
        <v>16.343574551698101</v>
      </c>
      <c r="K9" s="18">
        <v>0.10219178209347</v>
      </c>
      <c r="L9" s="18">
        <v>2.0901686720715702E-3</v>
      </c>
      <c r="M9" s="18">
        <v>1965.39423248803</v>
      </c>
      <c r="N9" s="18">
        <v>38.293673550396598</v>
      </c>
      <c r="O9" s="18">
        <v>0.122882699986884</v>
      </c>
      <c r="P9" s="18">
        <v>2.42091919942005E-3</v>
      </c>
      <c r="Q9" s="19">
        <v>1987.29219608219</v>
      </c>
      <c r="R9" s="19">
        <v>35.442600334753102</v>
      </c>
      <c r="S9" s="18">
        <v>2.9575186335586601</v>
      </c>
      <c r="T9" s="18">
        <v>2.54212895629401E-2</v>
      </c>
      <c r="U9" s="18">
        <v>1.3419914238858199</v>
      </c>
      <c r="V9" s="18">
        <v>1.32845246201532E-2</v>
      </c>
      <c r="W9" s="18">
        <v>58.385863401909297</v>
      </c>
      <c r="X9" s="18">
        <v>1.0295097560442701</v>
      </c>
      <c r="Y9" s="18">
        <v>43.363670862319303</v>
      </c>
      <c r="Z9" s="18">
        <v>0.65420389395751999</v>
      </c>
      <c r="AA9" s="18">
        <v>43.9021255708833</v>
      </c>
      <c r="AB9" s="18">
        <v>1.0380694296791999</v>
      </c>
      <c r="AD9" s="18">
        <v>0.18610907717918401</v>
      </c>
      <c r="AE9" s="18">
        <v>0.25252567441197199</v>
      </c>
      <c r="AG9" s="18">
        <f t="shared" si="0"/>
        <v>5.592627470851963</v>
      </c>
    </row>
    <row r="10" spans="1:33" s="20" customFormat="1" x14ac:dyDescent="0.2">
      <c r="A10" s="20" t="s">
        <v>97</v>
      </c>
      <c r="B10" s="20" t="s">
        <v>90</v>
      </c>
      <c r="C10" s="20">
        <v>0.25634100094004397</v>
      </c>
      <c r="D10" s="20">
        <v>2.1309838750356398E-3</v>
      </c>
      <c r="E10" s="20">
        <v>1470.7521080056499</v>
      </c>
      <c r="F10" s="20">
        <v>10.916716096048599</v>
      </c>
      <c r="G10" s="20">
        <v>3.9529592208195599</v>
      </c>
      <c r="H10" s="20">
        <v>0.104444158850757</v>
      </c>
      <c r="I10" s="20">
        <v>1616.2479763021299</v>
      </c>
      <c r="J10" s="20">
        <v>21.4428016781327</v>
      </c>
      <c r="K10" s="20">
        <v>9.8443057319782604E-2</v>
      </c>
      <c r="L10" s="20">
        <v>3.7719800591705598E-3</v>
      </c>
      <c r="M10" s="20">
        <v>1893.4267882270799</v>
      </c>
      <c r="N10" s="20">
        <v>69.012533557986998</v>
      </c>
      <c r="O10" s="20">
        <v>0.11187672256039501</v>
      </c>
      <c r="P10" s="20">
        <v>2.82497205819937E-3</v>
      </c>
      <c r="Q10" s="20">
        <v>1808.34706455946</v>
      </c>
      <c r="R10" s="20">
        <v>47.302086397583501</v>
      </c>
      <c r="S10" s="20">
        <v>3.90304703102096</v>
      </c>
      <c r="T10" s="20">
        <v>3.20919156482177E-2</v>
      </c>
      <c r="U10" s="20">
        <v>1.7611298653207601</v>
      </c>
      <c r="V10" s="20">
        <v>2.3121918809177199E-2</v>
      </c>
      <c r="W10" s="20">
        <v>39.702329258827497</v>
      </c>
      <c r="X10" s="20">
        <v>0.63825466281085896</v>
      </c>
      <c r="Y10" s="20">
        <v>22.519212401613501</v>
      </c>
      <c r="Z10" s="20">
        <v>0.47201391195084202</v>
      </c>
      <c r="AA10" s="20">
        <v>21.787772995664</v>
      </c>
      <c r="AB10" s="20">
        <v>0.76547617787330402</v>
      </c>
      <c r="AD10" s="20">
        <v>0.11128476733147399</v>
      </c>
      <c r="AE10" s="20">
        <v>0.212960037840497</v>
      </c>
      <c r="AG10" s="20">
        <f t="shared" si="0"/>
        <v>18.668703766555627</v>
      </c>
    </row>
    <row r="11" spans="1:33" x14ac:dyDescent="0.2">
      <c r="A11" s="18" t="s">
        <v>98</v>
      </c>
      <c r="B11" s="18" t="s">
        <v>90</v>
      </c>
      <c r="C11" s="18">
        <v>0.227072875603895</v>
      </c>
      <c r="D11" s="18">
        <v>2.7409619776096201E-3</v>
      </c>
      <c r="E11" s="19">
        <v>1318.53575453389</v>
      </c>
      <c r="F11" s="19">
        <v>14.417462947217301</v>
      </c>
      <c r="G11" s="18">
        <v>2.7248778010177501</v>
      </c>
      <c r="H11" s="18">
        <v>8.6406288478939205E-2</v>
      </c>
      <c r="I11" s="19">
        <v>1328.1705107661401</v>
      </c>
      <c r="J11" s="19">
        <v>22.9652324860423</v>
      </c>
      <c r="K11" s="18">
        <v>6.7600089772716102E-2</v>
      </c>
      <c r="L11" s="18">
        <v>3.5024520047565099E-3</v>
      </c>
      <c r="M11" s="18">
        <v>1318.0779380425399</v>
      </c>
      <c r="N11" s="18">
        <v>66.194413101809005</v>
      </c>
      <c r="O11" s="18">
        <v>8.7433962813105795E-2</v>
      </c>
      <c r="P11" s="18">
        <v>2.7705284239478698E-3</v>
      </c>
      <c r="Q11" s="19">
        <v>1320.18578187189</v>
      </c>
      <c r="R11" s="19">
        <v>64.714482271755102</v>
      </c>
      <c r="S11" s="18">
        <v>4.3996776028908604</v>
      </c>
      <c r="T11" s="18">
        <v>5.5724193307971903E-2</v>
      </c>
      <c r="U11" s="18">
        <v>2.9101600083052599</v>
      </c>
      <c r="V11" s="18">
        <v>4.5287287119143399E-2</v>
      </c>
      <c r="W11" s="18">
        <v>25.465984382011801</v>
      </c>
      <c r="X11" s="18">
        <v>0.62547853813243903</v>
      </c>
      <c r="Y11" s="18">
        <v>8.7415098629749401</v>
      </c>
      <c r="Z11" s="18">
        <v>0.21460391082993599</v>
      </c>
      <c r="AA11" s="18">
        <v>5.7371033091114096</v>
      </c>
      <c r="AB11" s="18">
        <v>0.30132801268765402</v>
      </c>
      <c r="AD11" s="18">
        <v>0.15994539949622699</v>
      </c>
      <c r="AE11" s="18">
        <v>0.21868772983908999</v>
      </c>
      <c r="AG11" s="18">
        <f t="shared" si="0"/>
        <v>0.12498448026462272</v>
      </c>
    </row>
    <row r="12" spans="1:33" x14ac:dyDescent="0.2">
      <c r="A12" s="18" t="s">
        <v>99</v>
      </c>
      <c r="B12" s="18" t="s">
        <v>90</v>
      </c>
      <c r="C12" s="18">
        <v>0.19316908490892201</v>
      </c>
      <c r="D12" s="18">
        <v>1.10783316679871E-3</v>
      </c>
      <c r="E12" s="19">
        <v>1138.4147455198099</v>
      </c>
      <c r="F12" s="19">
        <v>5.9873473328881301</v>
      </c>
      <c r="G12" s="18">
        <v>2.06415036379753</v>
      </c>
      <c r="H12" s="18">
        <v>2.3727196467135499E-2</v>
      </c>
      <c r="I12" s="19">
        <v>1137.8402186851499</v>
      </c>
      <c r="J12" s="19">
        <v>7.9199317888912404</v>
      </c>
      <c r="K12" s="18">
        <v>6.1370540957709302E-2</v>
      </c>
      <c r="L12" s="18">
        <v>8.9207150792960704E-4</v>
      </c>
      <c r="M12" s="18">
        <v>1203.59188677574</v>
      </c>
      <c r="N12" s="18">
        <v>16.983404748476001</v>
      </c>
      <c r="O12" s="18">
        <v>7.7824985602100993E-2</v>
      </c>
      <c r="P12" s="18">
        <v>9.7643694718877599E-4</v>
      </c>
      <c r="Q12" s="19">
        <v>1143.8934016154201</v>
      </c>
      <c r="R12" s="19">
        <v>25.823107087815401</v>
      </c>
      <c r="S12" s="18">
        <v>5.1624655543259204</v>
      </c>
      <c r="T12" s="18">
        <v>2.9899613402266899E-2</v>
      </c>
      <c r="U12" s="18">
        <v>1.7674045578381099</v>
      </c>
      <c r="V12" s="18">
        <v>2.3278229140105199E-2</v>
      </c>
      <c r="W12" s="18">
        <v>487.838500942525</v>
      </c>
      <c r="X12" s="18">
        <v>7.9470667206727397</v>
      </c>
      <c r="Y12" s="18">
        <v>276.42527065176199</v>
      </c>
      <c r="Z12" s="18">
        <v>2.4940398004697699</v>
      </c>
      <c r="AA12" s="18">
        <v>153.75133874788301</v>
      </c>
      <c r="AB12" s="18">
        <v>2.30252876689037</v>
      </c>
      <c r="AD12" s="18">
        <v>0.44606964112751302</v>
      </c>
      <c r="AE12" s="18">
        <v>6.2619348064078498E-2</v>
      </c>
      <c r="AG12" s="18">
        <f t="shared" si="0"/>
        <v>0.47894813344260267</v>
      </c>
    </row>
    <row r="13" spans="1:33" s="20" customFormat="1" x14ac:dyDescent="0.2">
      <c r="A13" s="20" t="s">
        <v>100</v>
      </c>
      <c r="B13" s="20" t="s">
        <v>90</v>
      </c>
      <c r="C13" s="20">
        <v>0.42662025355704802</v>
      </c>
      <c r="D13" s="20">
        <v>1.02358798191874E-2</v>
      </c>
      <c r="E13" s="20">
        <v>2289.9130137093698</v>
      </c>
      <c r="F13" s="20">
        <v>47.389174655915802</v>
      </c>
      <c r="G13" s="20">
        <v>27.225136641134899</v>
      </c>
      <c r="H13" s="20">
        <v>0.71329609174073205</v>
      </c>
      <c r="I13" s="20">
        <v>3379.1840430060502</v>
      </c>
      <c r="J13" s="20">
        <v>25.947071107461301</v>
      </c>
      <c r="K13" s="20">
        <v>0.33306761405900498</v>
      </c>
      <c r="L13" s="20">
        <v>9.8051617324990802E-3</v>
      </c>
      <c r="M13" s="20">
        <v>5790.1407824053204</v>
      </c>
      <c r="N13" s="20">
        <v>148.0643838723</v>
      </c>
      <c r="O13" s="20">
        <v>0.46505738186385998</v>
      </c>
      <c r="P13" s="20">
        <v>3.5005169635658898E-3</v>
      </c>
      <c r="Q13" s="20">
        <v>4131.6915221791796</v>
      </c>
      <c r="R13" s="20">
        <v>11.217336044483099</v>
      </c>
      <c r="S13" s="20">
        <v>2.3849418905061199</v>
      </c>
      <c r="T13" s="20">
        <v>5.8383045650629101E-2</v>
      </c>
      <c r="U13" s="20">
        <v>0.67188239346158796</v>
      </c>
      <c r="V13" s="20">
        <v>5.6111126630966996E-3</v>
      </c>
      <c r="W13" s="20">
        <v>415.84050538204201</v>
      </c>
      <c r="X13" s="20">
        <v>20.2688048999313</v>
      </c>
      <c r="Y13" s="20">
        <v>626.79642526248006</v>
      </c>
      <c r="Z13" s="20">
        <v>31.868701878494999</v>
      </c>
      <c r="AA13" s="20">
        <v>1780.55063261079</v>
      </c>
      <c r="AB13" s="20">
        <v>38.065187729254099</v>
      </c>
      <c r="AD13" s="20">
        <v>-0.100886290205218</v>
      </c>
      <c r="AE13" s="20">
        <v>0.95907465032105699</v>
      </c>
      <c r="AG13" s="20">
        <f t="shared" si="0"/>
        <v>44.576863945021714</v>
      </c>
    </row>
    <row r="14" spans="1:33" x14ac:dyDescent="0.2">
      <c r="A14" s="18" t="s">
        <v>101</v>
      </c>
      <c r="B14" s="18" t="s">
        <v>90</v>
      </c>
      <c r="C14" s="18">
        <v>0.22523050296934299</v>
      </c>
      <c r="D14" s="18">
        <v>1.49951483744835E-3</v>
      </c>
      <c r="E14" s="19">
        <v>1309.2726629261399</v>
      </c>
      <c r="F14" s="19">
        <v>7.8870802386246002</v>
      </c>
      <c r="G14" s="18">
        <v>2.6711998379611801</v>
      </c>
      <c r="H14" s="18">
        <v>3.7980614541131101E-2</v>
      </c>
      <c r="I14" s="19">
        <v>1318.48907147622</v>
      </c>
      <c r="J14" s="19">
        <v>10.501949520708999</v>
      </c>
      <c r="K14" s="18">
        <v>6.3889287094455696E-2</v>
      </c>
      <c r="L14" s="18">
        <v>1.20620684131549E-3</v>
      </c>
      <c r="M14" s="18">
        <v>1251.2833229876801</v>
      </c>
      <c r="N14" s="18">
        <v>22.908112011027701</v>
      </c>
      <c r="O14" s="18">
        <v>8.7010342956511305E-2</v>
      </c>
      <c r="P14" s="18">
        <v>1.3100947841796599E-3</v>
      </c>
      <c r="Q14" s="19">
        <v>1349.4572032062699</v>
      </c>
      <c r="R14" s="19">
        <v>29.104080176974598</v>
      </c>
      <c r="S14" s="18">
        <v>4.4363829793592497</v>
      </c>
      <c r="T14" s="18">
        <v>2.9552465218802101E-2</v>
      </c>
      <c r="U14" s="18">
        <v>1.7539500269250401</v>
      </c>
      <c r="V14" s="18">
        <v>2.8561842968833899E-2</v>
      </c>
      <c r="W14" s="18">
        <v>156.50531915303901</v>
      </c>
      <c r="X14" s="18">
        <v>3.1273891927534798</v>
      </c>
      <c r="Y14" s="18">
        <v>89.973846026490094</v>
      </c>
      <c r="Z14" s="18">
        <v>1.15669591486615</v>
      </c>
      <c r="AA14" s="18">
        <v>51.296995306371599</v>
      </c>
      <c r="AB14" s="18">
        <v>1.0254147059251399</v>
      </c>
      <c r="AD14" s="18">
        <v>0.25201566574166201</v>
      </c>
      <c r="AE14" s="18">
        <v>0.30085342594543302</v>
      </c>
      <c r="AG14" s="18">
        <f t="shared" si="0"/>
        <v>2.9778299144761933</v>
      </c>
    </row>
    <row r="15" spans="1:33" s="20" customFormat="1" x14ac:dyDescent="0.2">
      <c r="A15" s="20" t="s">
        <v>102</v>
      </c>
      <c r="B15" s="20" t="s">
        <v>90</v>
      </c>
      <c r="C15" s="20">
        <v>0.49164821905433098</v>
      </c>
      <c r="D15" s="20">
        <v>8.3152503359282797E-3</v>
      </c>
      <c r="E15" s="20">
        <v>2573.9152098497598</v>
      </c>
      <c r="F15" s="20">
        <v>36.701304446896899</v>
      </c>
      <c r="G15" s="20">
        <v>22.664287043917199</v>
      </c>
      <c r="H15" s="20">
        <v>0.41151191428198503</v>
      </c>
      <c r="I15" s="20">
        <v>3206.5125299880401</v>
      </c>
      <c r="J15" s="20">
        <v>18.429117049130198</v>
      </c>
      <c r="K15" s="20">
        <v>0.311101448623674</v>
      </c>
      <c r="L15" s="20">
        <v>4.8005435585503596E-3</v>
      </c>
      <c r="M15" s="20">
        <v>5469.6701113519503</v>
      </c>
      <c r="N15" s="20">
        <v>74.583634832475695</v>
      </c>
      <c r="O15" s="20">
        <v>0.337310370609815</v>
      </c>
      <c r="P15" s="20">
        <v>3.1100728350603999E-3</v>
      </c>
      <c r="Q15" s="20">
        <v>3647.2505295287401</v>
      </c>
      <c r="R15" s="20">
        <v>14.0231561805955</v>
      </c>
      <c r="S15" s="20">
        <v>2.0332950019842699</v>
      </c>
      <c r="T15" s="20">
        <v>3.6415550488836303E-2</v>
      </c>
      <c r="U15" s="20">
        <v>0.75525156303347096</v>
      </c>
      <c r="V15" s="20">
        <v>9.3101316019655392E-3</v>
      </c>
      <c r="W15" s="20">
        <v>120.85214806338701</v>
      </c>
      <c r="X15" s="20">
        <v>5.7691408799729498</v>
      </c>
      <c r="Y15" s="20">
        <v>158.50942050732601</v>
      </c>
      <c r="Z15" s="20">
        <v>6.1822775972228303</v>
      </c>
      <c r="AA15" s="20">
        <v>435.10643791602303</v>
      </c>
      <c r="AB15" s="20">
        <v>13.3515935709431</v>
      </c>
      <c r="AD15" s="20">
        <v>0.18078498983875901</v>
      </c>
      <c r="AE15" s="20">
        <v>0.86020985708101305</v>
      </c>
      <c r="AG15" s="20">
        <f t="shared" si="0"/>
        <v>29.428615089341438</v>
      </c>
    </row>
    <row r="16" spans="1:33" x14ac:dyDescent="0.2">
      <c r="A16" s="18" t="s">
        <v>103</v>
      </c>
      <c r="B16" s="18" t="s">
        <v>90</v>
      </c>
      <c r="C16" s="18">
        <v>0.25214563275227297</v>
      </c>
      <c r="D16" s="18">
        <v>2.19418430797798E-3</v>
      </c>
      <c r="E16" s="19">
        <v>1449.1577237992101</v>
      </c>
      <c r="F16" s="19">
        <v>11.3018369871186</v>
      </c>
      <c r="G16" s="18">
        <v>3.2542500258656699</v>
      </c>
      <c r="H16" s="18">
        <v>5.4406030631179499E-2</v>
      </c>
      <c r="I16" s="19">
        <v>1467.0629119995799</v>
      </c>
      <c r="J16" s="19">
        <v>12.9774915222822</v>
      </c>
      <c r="K16" s="18">
        <v>6.8376704478425407E-2</v>
      </c>
      <c r="L16" s="18">
        <v>1.6340911733314599E-3</v>
      </c>
      <c r="M16" s="18">
        <v>1335.9518184040701</v>
      </c>
      <c r="N16" s="18">
        <v>30.9294911012245</v>
      </c>
      <c r="O16" s="18">
        <v>9.4679506015455897E-2</v>
      </c>
      <c r="P16" s="18">
        <v>1.5397907676090799E-3</v>
      </c>
      <c r="Q16" s="19">
        <v>1513.24057508754</v>
      </c>
      <c r="R16" s="19">
        <v>29.964784803758398</v>
      </c>
      <c r="S16" s="18">
        <v>3.9675295967731201</v>
      </c>
      <c r="T16" s="18">
        <v>3.4844458807589698E-2</v>
      </c>
      <c r="U16" s="18">
        <v>1.8528825982203501</v>
      </c>
      <c r="V16" s="18">
        <v>5.7678803494452202E-2</v>
      </c>
      <c r="W16" s="18">
        <v>122.146262575968</v>
      </c>
      <c r="X16" s="18">
        <v>2.1593988518139202</v>
      </c>
      <c r="Y16" s="18">
        <v>67.542393849128004</v>
      </c>
      <c r="Z16" s="18">
        <v>1.3419057802532499</v>
      </c>
      <c r="AA16" s="18">
        <v>41.402877003228802</v>
      </c>
      <c r="AB16" s="18">
        <v>0.88424527466990299</v>
      </c>
      <c r="AD16" s="18">
        <v>0.24958312178883699</v>
      </c>
      <c r="AE16" s="18">
        <v>0.30945812648672399</v>
      </c>
      <c r="AG16" s="18">
        <f t="shared" si="0"/>
        <v>4.2348092129780968</v>
      </c>
    </row>
    <row r="17" spans="1:33" x14ac:dyDescent="0.2">
      <c r="A17" s="18" t="s">
        <v>104</v>
      </c>
      <c r="B17" s="18" t="s">
        <v>90</v>
      </c>
      <c r="C17" s="18">
        <v>0.231438250087909</v>
      </c>
      <c r="D17" s="18">
        <v>1.8549602801177501E-3</v>
      </c>
      <c r="E17" s="19">
        <v>1341.7574571897801</v>
      </c>
      <c r="F17" s="19">
        <v>9.6839625020888906</v>
      </c>
      <c r="G17" s="18">
        <v>2.8075499260297798</v>
      </c>
      <c r="H17" s="18">
        <v>5.61844882576783E-2</v>
      </c>
      <c r="I17" s="19">
        <v>1353.3798559883201</v>
      </c>
      <c r="J17" s="19">
        <v>14.997331288290701</v>
      </c>
      <c r="K17" s="18">
        <v>6.9946329601988294E-2</v>
      </c>
      <c r="L17" s="18">
        <v>1.65831716533785E-3</v>
      </c>
      <c r="M17" s="18">
        <v>1365.6035080982999</v>
      </c>
      <c r="N17" s="18">
        <v>31.283114852400399</v>
      </c>
      <c r="O17" s="18">
        <v>8.8976215598939104E-2</v>
      </c>
      <c r="P17" s="18">
        <v>1.8382482097921799E-3</v>
      </c>
      <c r="Q17" s="19">
        <v>1382.9710655522699</v>
      </c>
      <c r="R17" s="19">
        <v>40.258272010458199</v>
      </c>
      <c r="S17" s="18">
        <v>4.3201658212948502</v>
      </c>
      <c r="T17" s="18">
        <v>3.3910667105234202E-2</v>
      </c>
      <c r="U17" s="18">
        <v>1.7390207863777101</v>
      </c>
      <c r="V17" s="18">
        <v>1.7329231278041798E-2</v>
      </c>
      <c r="W17" s="18">
        <v>77.305259827384404</v>
      </c>
      <c r="X17" s="18">
        <v>1.58336568024082</v>
      </c>
      <c r="Y17" s="18">
        <v>44.613990173276697</v>
      </c>
      <c r="Z17" s="18">
        <v>0.81612069174100399</v>
      </c>
      <c r="AA17" s="18">
        <v>27.981059049297802</v>
      </c>
      <c r="AB17" s="18">
        <v>0.81004827610646502</v>
      </c>
      <c r="AD17" s="18">
        <v>0.447089934504386</v>
      </c>
      <c r="AE17" s="18">
        <v>-2.03728079421036E-2</v>
      </c>
      <c r="AG17" s="18">
        <f t="shared" si="0"/>
        <v>2.9800774136971353</v>
      </c>
    </row>
    <row r="18" spans="1:33" x14ac:dyDescent="0.2">
      <c r="A18" s="18" t="s">
        <v>105</v>
      </c>
      <c r="B18" s="18" t="s">
        <v>90</v>
      </c>
      <c r="C18" s="18">
        <v>0.18032372181655801</v>
      </c>
      <c r="D18" s="18">
        <v>1.74681324377782E-3</v>
      </c>
      <c r="E18" s="19">
        <v>1069.85675505053</v>
      </c>
      <c r="F18" s="19">
        <v>9.8908121653105194</v>
      </c>
      <c r="G18" s="18">
        <v>1.8761969173517099</v>
      </c>
      <c r="H18" s="18">
        <v>2.8522322177728099E-2</v>
      </c>
      <c r="I18" s="19">
        <v>1070.84508819231</v>
      </c>
      <c r="J18" s="19">
        <v>10.0384148537622</v>
      </c>
      <c r="K18" s="18">
        <v>-0.14453908258514001</v>
      </c>
      <c r="L18" s="18">
        <v>0.67380369939305595</v>
      </c>
      <c r="M18" s="18">
        <v>18869.534725465001</v>
      </c>
      <c r="N18" s="18">
        <v>2232.1663319706099</v>
      </c>
      <c r="O18" s="18">
        <v>7.5990289486522394E-2</v>
      </c>
      <c r="P18" s="18">
        <v>1.0582243715613201E-3</v>
      </c>
      <c r="Q18" s="19">
        <v>1088.03414072233</v>
      </c>
      <c r="R18" s="19">
        <v>27.077497891941</v>
      </c>
      <c r="S18" s="18">
        <v>5.53769514546451</v>
      </c>
      <c r="T18" s="18">
        <v>5.6534985540443297E-2</v>
      </c>
      <c r="U18" s="18">
        <v>-23267.687932430501</v>
      </c>
      <c r="V18" s="18">
        <v>2184.0343063868299</v>
      </c>
      <c r="W18" s="18">
        <v>223.54309280199001</v>
      </c>
      <c r="X18" s="18">
        <v>5.21347944263659</v>
      </c>
      <c r="Y18" s="18">
        <v>5.5393888553806397E-3</v>
      </c>
      <c r="Z18" s="18">
        <v>5.3606330922347104E-3</v>
      </c>
      <c r="AA18" s="18">
        <v>9.5538225904239701E-2</v>
      </c>
      <c r="AB18" s="18">
        <v>7.1868186117885299E-2</v>
      </c>
      <c r="AD18" s="18">
        <v>0.20874721232139501</v>
      </c>
      <c r="AE18" s="18">
        <v>0.49441556687980498</v>
      </c>
      <c r="AG18" s="18">
        <f t="shared" si="0"/>
        <v>1.6706631705262764</v>
      </c>
    </row>
    <row r="19" spans="1:33" x14ac:dyDescent="0.2">
      <c r="A19" s="18" t="s">
        <v>106</v>
      </c>
      <c r="B19" s="18" t="s">
        <v>90</v>
      </c>
      <c r="C19" s="18">
        <v>0.320451319374497</v>
      </c>
      <c r="D19" s="18">
        <v>2.1789105053986999E-3</v>
      </c>
      <c r="E19" s="19">
        <v>1791.6056446294899</v>
      </c>
      <c r="F19" s="19">
        <v>10.6460452423684</v>
      </c>
      <c r="G19" s="18">
        <v>4.9853634624397998</v>
      </c>
      <c r="H19" s="18">
        <v>5.3716174984854301E-2</v>
      </c>
      <c r="I19" s="19">
        <v>1816.4568542429499</v>
      </c>
      <c r="J19" s="19">
        <v>8.8925230159680009</v>
      </c>
      <c r="K19" s="18">
        <v>2.0397972377432901E-2</v>
      </c>
      <c r="L19" s="18">
        <v>5.34009602987531E-4</v>
      </c>
      <c r="M19" s="18">
        <v>408.03699194203301</v>
      </c>
      <c r="N19" s="18">
        <v>10.5614109756883</v>
      </c>
      <c r="O19" s="18">
        <v>0.114088694789497</v>
      </c>
      <c r="P19" s="18">
        <v>1.07306770567587E-3</v>
      </c>
      <c r="Q19" s="19">
        <v>1865.3272066023001</v>
      </c>
      <c r="R19" s="19">
        <v>16.960902762852101</v>
      </c>
      <c r="S19" s="18">
        <v>3.1179959850001802</v>
      </c>
      <c r="T19" s="18">
        <v>2.1463104930971699E-2</v>
      </c>
      <c r="U19" s="18">
        <v>0.72995384244847406</v>
      </c>
      <c r="V19" s="18">
        <v>1.62705873080463E-2</v>
      </c>
      <c r="W19" s="18">
        <v>368.365466375925</v>
      </c>
      <c r="X19" s="18">
        <v>16.148785051423101</v>
      </c>
      <c r="Y19" s="18">
        <v>517.95670620798103</v>
      </c>
      <c r="Z19" s="18">
        <v>26.563184300669501</v>
      </c>
      <c r="AA19" s="18">
        <v>94.059646491054806</v>
      </c>
      <c r="AB19" s="18">
        <v>3.2012007234245501</v>
      </c>
      <c r="AD19" s="18">
        <v>0.25795873969861299</v>
      </c>
      <c r="AE19" s="18">
        <v>0.50337780529223797</v>
      </c>
      <c r="AG19" s="18">
        <f t="shared" si="0"/>
        <v>3.9522053670730584</v>
      </c>
    </row>
    <row r="20" spans="1:33" s="20" customFormat="1" x14ac:dyDescent="0.2">
      <c r="A20" s="20" t="s">
        <v>107</v>
      </c>
      <c r="B20" s="20" t="s">
        <v>90</v>
      </c>
      <c r="C20" s="20">
        <v>0.22103244504265199</v>
      </c>
      <c r="D20" s="20">
        <v>1.7056752457773701E-3</v>
      </c>
      <c r="E20" s="20">
        <v>1287.09094705746</v>
      </c>
      <c r="F20" s="20">
        <v>8.9966594580407602</v>
      </c>
      <c r="G20" s="20">
        <v>2.8901982915656799</v>
      </c>
      <c r="H20" s="20">
        <v>5.9605882999853699E-2</v>
      </c>
      <c r="I20" s="20">
        <v>1375.0158376586101</v>
      </c>
      <c r="J20" s="20">
        <v>15.1569024761863</v>
      </c>
      <c r="K20" s="20">
        <v>4.3962285431777097E-2</v>
      </c>
      <c r="L20" s="20">
        <v>1.8839096625368401E-3</v>
      </c>
      <c r="M20" s="20">
        <v>868.36462815249695</v>
      </c>
      <c r="N20" s="20">
        <v>36.280018157136098</v>
      </c>
      <c r="O20" s="20">
        <v>9.5462739968958599E-2</v>
      </c>
      <c r="P20" s="20">
        <v>1.6167618936052299E-3</v>
      </c>
      <c r="Q20" s="20">
        <v>1524.14438510474</v>
      </c>
      <c r="R20" s="20">
        <v>30.9576551022292</v>
      </c>
      <c r="S20" s="20">
        <v>4.5230836780432497</v>
      </c>
      <c r="T20" s="20">
        <v>3.4709896443437999E-2</v>
      </c>
      <c r="U20" s="20">
        <v>0.87663157846751605</v>
      </c>
      <c r="V20" s="20">
        <v>2.7893852278624599E-2</v>
      </c>
      <c r="W20" s="20">
        <v>366.10728281400799</v>
      </c>
      <c r="X20" s="20">
        <v>3.6198611347620502</v>
      </c>
      <c r="Y20" s="20">
        <v>424.379444488361</v>
      </c>
      <c r="Z20" s="20">
        <v>13.3625302075293</v>
      </c>
      <c r="AA20" s="20">
        <v>174.450018046162</v>
      </c>
      <c r="AB20" s="20">
        <v>4.5156641743396699</v>
      </c>
      <c r="AD20" s="20">
        <v>-0.25852270301538599</v>
      </c>
      <c r="AE20" s="20">
        <v>0.60925059645011004</v>
      </c>
      <c r="AG20" s="20">
        <f t="shared" si="0"/>
        <v>15.553214010691619</v>
      </c>
    </row>
    <row r="21" spans="1:33" x14ac:dyDescent="0.2">
      <c r="A21" s="18" t="s">
        <v>108</v>
      </c>
      <c r="B21" s="18" t="s">
        <v>90</v>
      </c>
      <c r="C21" s="18">
        <v>0.373425132599642</v>
      </c>
      <c r="D21" s="18">
        <v>1.440702448109E-2</v>
      </c>
      <c r="E21" s="19">
        <v>2032.48581884189</v>
      </c>
      <c r="F21" s="19">
        <v>66.221920825182593</v>
      </c>
      <c r="G21" s="18">
        <v>18.166178722245601</v>
      </c>
      <c r="H21" s="18">
        <v>1.1063878988912601</v>
      </c>
      <c r="I21" s="19">
        <v>2951.4608968498001</v>
      </c>
      <c r="J21" s="19">
        <v>56.794392831922998</v>
      </c>
      <c r="K21" s="18">
        <v>0.176296544067651</v>
      </c>
      <c r="L21" s="18">
        <v>1.47593232931884E-2</v>
      </c>
      <c r="M21" s="18">
        <v>3224.0175293126799</v>
      </c>
      <c r="N21" s="18">
        <v>246.67373875177901</v>
      </c>
      <c r="O21" s="18">
        <v>0.352196611831604</v>
      </c>
      <c r="P21" s="18">
        <v>1.4307772274085299E-2</v>
      </c>
      <c r="Q21" s="19">
        <v>3676.7709062129002</v>
      </c>
      <c r="R21" s="19">
        <v>66.029495054691694</v>
      </c>
      <c r="S21" s="18">
        <v>2.7790309873765602</v>
      </c>
      <c r="T21" s="18">
        <v>0.102552997347394</v>
      </c>
      <c r="U21" s="18">
        <v>0.48122163220636899</v>
      </c>
      <c r="V21" s="18">
        <v>5.58962628149395E-2</v>
      </c>
      <c r="W21" s="18">
        <v>4.9126947526366296</v>
      </c>
      <c r="X21" s="18">
        <v>0.13191109121007599</v>
      </c>
      <c r="Y21" s="18">
        <v>35.3137814803802</v>
      </c>
      <c r="Z21" s="18">
        <v>7.5045246542910196</v>
      </c>
      <c r="AA21" s="18">
        <v>36.201720242376503</v>
      </c>
      <c r="AB21" s="18">
        <v>5.9461651855294599</v>
      </c>
      <c r="AD21" s="18">
        <v>-6.6186208354573506E-2</v>
      </c>
      <c r="AE21" s="18">
        <v>0.75026895391128701</v>
      </c>
      <c r="AG21" s="18">
        <f t="shared" si="0"/>
        <v>44.720901283040106</v>
      </c>
    </row>
    <row r="22" spans="1:33" s="20" customFormat="1" x14ac:dyDescent="0.2">
      <c r="A22" s="20" t="s">
        <v>109</v>
      </c>
      <c r="B22" s="20" t="s">
        <v>90</v>
      </c>
      <c r="C22" s="20">
        <v>0.53364914523248896</v>
      </c>
      <c r="D22" s="20">
        <v>9.2963093633032894E-3</v>
      </c>
      <c r="E22" s="20">
        <v>2752.3909055611098</v>
      </c>
      <c r="F22" s="20">
        <v>38.9281940371609</v>
      </c>
      <c r="G22" s="20">
        <v>17.492871461122</v>
      </c>
      <c r="H22" s="20">
        <v>0.48829498342155803</v>
      </c>
      <c r="I22" s="20">
        <v>2956.14650460847</v>
      </c>
      <c r="J22" s="20">
        <v>25.699635827621499</v>
      </c>
      <c r="K22" s="20">
        <v>0.62650208785621297</v>
      </c>
      <c r="L22" s="20">
        <v>3.9407492008861303E-2</v>
      </c>
      <c r="M22" s="20">
        <v>9781.1121332567891</v>
      </c>
      <c r="N22" s="20">
        <v>522.66929957745197</v>
      </c>
      <c r="O22" s="20">
        <v>0.23885283842333299</v>
      </c>
      <c r="P22" s="20">
        <v>6.2555463626654496E-3</v>
      </c>
      <c r="Q22" s="20">
        <v>3104.2386040951701</v>
      </c>
      <c r="R22" s="20">
        <v>41.2068687860477</v>
      </c>
      <c r="S22" s="20">
        <v>1.88663528253483</v>
      </c>
      <c r="T22" s="20">
        <v>3.3712122553214E-2</v>
      </c>
      <c r="U22" s="20">
        <v>7.03994963690318</v>
      </c>
      <c r="V22" s="20">
        <v>0.39123946219544398</v>
      </c>
      <c r="W22" s="20">
        <v>7.37441303245485</v>
      </c>
      <c r="X22" s="20">
        <v>0.231640548646218</v>
      </c>
      <c r="Y22" s="20">
        <v>1.1045402918293199</v>
      </c>
      <c r="Z22" s="20">
        <v>4.95413508024403E-2</v>
      </c>
      <c r="AA22" s="20">
        <v>6.3478340712007997</v>
      </c>
      <c r="AB22" s="20">
        <v>0.306263161354978</v>
      </c>
      <c r="AD22" s="20">
        <v>0.25924820373254198</v>
      </c>
      <c r="AE22" s="20">
        <v>0.37960302465911999</v>
      </c>
      <c r="AG22" s="20">
        <f t="shared" si="0"/>
        <v>11.334428290077192</v>
      </c>
    </row>
    <row r="23" spans="1:33" x14ac:dyDescent="0.2">
      <c r="A23" s="18" t="s">
        <v>110</v>
      </c>
      <c r="B23" s="18" t="s">
        <v>90</v>
      </c>
      <c r="C23" s="18">
        <v>0.230980093597386</v>
      </c>
      <c r="D23" s="18">
        <v>2.1561598830592802E-3</v>
      </c>
      <c r="E23" s="19">
        <v>1339.2592166373699</v>
      </c>
      <c r="F23" s="19">
        <v>11.3187879095215</v>
      </c>
      <c r="G23" s="18">
        <v>2.7578083492243901</v>
      </c>
      <c r="H23" s="18">
        <v>5.8030934406449602E-2</v>
      </c>
      <c r="I23" s="19">
        <v>1341.6808041055699</v>
      </c>
      <c r="J23" s="19">
        <v>16.1039536342332</v>
      </c>
      <c r="K23" s="18">
        <v>3.8791594977218E-2</v>
      </c>
      <c r="L23" s="18">
        <v>2.0377688910869999E-3</v>
      </c>
      <c r="M23" s="18">
        <v>767.77489365829604</v>
      </c>
      <c r="N23" s="18">
        <v>39.573420561740001</v>
      </c>
      <c r="O23" s="18">
        <v>8.7091574981631406E-2</v>
      </c>
      <c r="P23" s="18">
        <v>2.0107241810551398E-3</v>
      </c>
      <c r="Q23" s="19">
        <v>1336.7218410907899</v>
      </c>
      <c r="R23" s="19">
        <v>45.201096366807498</v>
      </c>
      <c r="S23" s="18">
        <v>4.3177024521560998</v>
      </c>
      <c r="T23" s="18">
        <v>4.2599533458603997E-2</v>
      </c>
      <c r="U23" s="18">
        <v>1.2008767036628401</v>
      </c>
      <c r="V23" s="18">
        <v>6.3546226347239596E-2</v>
      </c>
      <c r="W23" s="18">
        <v>75.215571300781605</v>
      </c>
      <c r="X23" s="18">
        <v>1.8285965257903301</v>
      </c>
      <c r="Y23" s="18">
        <v>65.440623369166602</v>
      </c>
      <c r="Z23" s="18">
        <v>2.14069387582503</v>
      </c>
      <c r="AA23" s="18">
        <v>23.3327512985312</v>
      </c>
      <c r="AB23" s="18">
        <v>0.63805295369780701</v>
      </c>
      <c r="AD23" s="18">
        <v>0.26589122981118302</v>
      </c>
      <c r="AE23" s="18">
        <v>0.16144619155088299</v>
      </c>
      <c r="AG23" s="18">
        <f t="shared" si="0"/>
        <v>-0.18982075915729979</v>
      </c>
    </row>
    <row r="24" spans="1:33" s="20" customFormat="1" x14ac:dyDescent="0.2">
      <c r="A24" s="20" t="s">
        <v>111</v>
      </c>
      <c r="B24" s="20" t="s">
        <v>90</v>
      </c>
      <c r="C24" s="20">
        <v>0.227706096503351</v>
      </c>
      <c r="D24" s="20">
        <v>1.78838636978954E-3</v>
      </c>
      <c r="E24" s="20">
        <v>1322.2130125091301</v>
      </c>
      <c r="F24" s="20">
        <v>9.4246622992101194</v>
      </c>
      <c r="G24" s="20">
        <v>2.90044306997512</v>
      </c>
      <c r="H24" s="20">
        <v>3.6763236103991799E-2</v>
      </c>
      <c r="I24" s="20">
        <v>1380.3619596256599</v>
      </c>
      <c r="J24" s="20">
        <v>9.6099524353361101</v>
      </c>
      <c r="K24" s="20">
        <v>2.1839893289033501E-2</v>
      </c>
      <c r="L24" s="20">
        <v>9.1042485219264703E-4</v>
      </c>
      <c r="M24" s="20">
        <v>436.38629348695599</v>
      </c>
      <c r="N24" s="20">
        <v>18.0278651286452</v>
      </c>
      <c r="O24" s="20">
        <v>9.3461489276348994E-2</v>
      </c>
      <c r="P24" s="20">
        <v>9.9534986055091804E-4</v>
      </c>
      <c r="Q24" s="20">
        <v>1491.4687764755599</v>
      </c>
      <c r="R24" s="20">
        <v>20.145126891719698</v>
      </c>
      <c r="S24" s="20">
        <v>4.3918739410576704</v>
      </c>
      <c r="T24" s="20">
        <v>3.6142796996901101E-2</v>
      </c>
      <c r="U24" s="20">
        <v>1.04327490806268</v>
      </c>
      <c r="V24" s="20">
        <v>4.1691053584262901E-2</v>
      </c>
      <c r="W24" s="20">
        <v>437.680397304427</v>
      </c>
      <c r="X24" s="20">
        <v>10.677476246284799</v>
      </c>
      <c r="Y24" s="20">
        <v>460.79696830528798</v>
      </c>
      <c r="Z24" s="20">
        <v>33.606829451785103</v>
      </c>
      <c r="AA24" s="20">
        <v>86.8662450229873</v>
      </c>
      <c r="AB24" s="20">
        <v>1.7669626966924701</v>
      </c>
      <c r="AD24" s="20">
        <v>0.20866164888636801</v>
      </c>
      <c r="AE24" s="20">
        <v>0.56683964910894302</v>
      </c>
      <c r="AG24" s="20">
        <f t="shared" si="0"/>
        <v>11.348260629792906</v>
      </c>
    </row>
    <row r="25" spans="1:33" x14ac:dyDescent="0.2">
      <c r="A25" s="18" t="s">
        <v>112</v>
      </c>
      <c r="B25" s="18" t="s">
        <v>90</v>
      </c>
      <c r="C25" s="18">
        <v>0.21600630174087099</v>
      </c>
      <c r="D25" s="18">
        <v>1.8024150055467099E-3</v>
      </c>
      <c r="E25" s="19">
        <v>1260.47042030688</v>
      </c>
      <c r="F25" s="19">
        <v>9.5598423073671395</v>
      </c>
      <c r="G25" s="18">
        <v>2.4518113380381901</v>
      </c>
      <c r="H25" s="18">
        <v>4.8038646511967799E-2</v>
      </c>
      <c r="I25" s="19">
        <v>1254.21790593887</v>
      </c>
      <c r="J25" s="19">
        <v>14.220378404748599</v>
      </c>
      <c r="K25" s="18">
        <v>6.5913513759104994E-2</v>
      </c>
      <c r="L25" s="18">
        <v>1.4302623354278999E-3</v>
      </c>
      <c r="M25" s="18">
        <v>1289.50418760409</v>
      </c>
      <c r="N25" s="18">
        <v>27.114630948422501</v>
      </c>
      <c r="O25" s="18">
        <v>8.2902717508953006E-2</v>
      </c>
      <c r="P25" s="18">
        <v>1.60821110476854E-3</v>
      </c>
      <c r="Q25" s="19">
        <v>1247.62734796838</v>
      </c>
      <c r="R25" s="19">
        <v>39.170567065777803</v>
      </c>
      <c r="S25" s="18">
        <v>4.6207829553716602</v>
      </c>
      <c r="T25" s="18">
        <v>3.85133911070209E-2</v>
      </c>
      <c r="U25" s="18">
        <v>1.98234693640076</v>
      </c>
      <c r="V25" s="18">
        <v>1.9249312655696099E-2</v>
      </c>
      <c r="W25" s="18">
        <v>92.205084112025602</v>
      </c>
      <c r="X25" s="18">
        <v>1.7371766791349901</v>
      </c>
      <c r="Y25" s="18">
        <v>45.850259870257602</v>
      </c>
      <c r="Z25" s="18">
        <v>0.74239267051201796</v>
      </c>
      <c r="AA25" s="18">
        <v>29.081307005936601</v>
      </c>
      <c r="AB25" s="18">
        <v>0.67907270241870599</v>
      </c>
      <c r="AD25" s="18">
        <v>0.23305941412738501</v>
      </c>
      <c r="AE25" s="18">
        <v>0.24936678145091801</v>
      </c>
      <c r="AG25" s="18">
        <f t="shared" si="0"/>
        <v>-1.0293997129361854</v>
      </c>
    </row>
    <row r="26" spans="1:33" s="20" customFormat="1" x14ac:dyDescent="0.2">
      <c r="A26" s="20" t="s">
        <v>113</v>
      </c>
      <c r="B26" s="20" t="s">
        <v>90</v>
      </c>
      <c r="C26" s="20">
        <v>0.14475047840281699</v>
      </c>
      <c r="D26" s="20">
        <v>1.3599651446923101E-3</v>
      </c>
      <c r="E26" s="20">
        <v>871.29985966434299</v>
      </c>
      <c r="F26" s="20">
        <v>7.66131570482084</v>
      </c>
      <c r="G26" s="20">
        <v>1.7685872921474399</v>
      </c>
      <c r="H26" s="20">
        <v>2.8297379807776399E-2</v>
      </c>
      <c r="I26" s="20">
        <v>1032.02546529713</v>
      </c>
      <c r="J26" s="20">
        <v>10.3881234934275</v>
      </c>
      <c r="K26" s="20">
        <v>9.1238401815606201E-3</v>
      </c>
      <c r="L26" s="20">
        <v>7.1122450745918404E-4</v>
      </c>
      <c r="M26" s="20">
        <v>183.390638021184</v>
      </c>
      <c r="N26" s="20">
        <v>14.2060714521579</v>
      </c>
      <c r="O26" s="20">
        <v>8.9053225489603205E-2</v>
      </c>
      <c r="P26" s="20">
        <v>1.28411607114316E-3</v>
      </c>
      <c r="Q26" s="20">
        <v>1398.7488327013</v>
      </c>
      <c r="R26" s="20">
        <v>27.137461117528701</v>
      </c>
      <c r="S26" s="20">
        <v>6.9159875999148799</v>
      </c>
      <c r="T26" s="20">
        <v>6.5881221306682905E-2</v>
      </c>
      <c r="U26" s="20">
        <v>0.19490753733998301</v>
      </c>
      <c r="V26" s="20">
        <v>7.9600722558464503E-3</v>
      </c>
      <c r="W26" s="20">
        <v>381.16588056309899</v>
      </c>
      <c r="X26" s="20">
        <v>19.1731647216751</v>
      </c>
      <c r="Y26" s="20">
        <v>2001.6891050668301</v>
      </c>
      <c r="Z26" s="20">
        <v>133.99167716508899</v>
      </c>
      <c r="AA26" s="20">
        <v>191.247214526931</v>
      </c>
      <c r="AB26" s="20">
        <v>25.437456434001898</v>
      </c>
      <c r="AD26" s="20">
        <v>7.08745653742342E-2</v>
      </c>
      <c r="AE26" s="20">
        <v>0.48036753627028</v>
      </c>
      <c r="AG26" s="20">
        <f t="shared" si="0"/>
        <v>37.708626502896436</v>
      </c>
    </row>
    <row r="27" spans="1:33" x14ac:dyDescent="0.2">
      <c r="A27" s="18" t="s">
        <v>114</v>
      </c>
      <c r="B27" s="18" t="s">
        <v>90</v>
      </c>
      <c r="C27" s="18">
        <v>0.251661154673815</v>
      </c>
      <c r="D27" s="18">
        <v>2.1539801583799999E-3</v>
      </c>
      <c r="E27" s="19">
        <v>1446.6765530398</v>
      </c>
      <c r="F27" s="19">
        <v>11.0941381191908</v>
      </c>
      <c r="G27" s="18">
        <v>3.0238634146156902</v>
      </c>
      <c r="H27" s="18">
        <v>5.3673033814314097E-2</v>
      </c>
      <c r="I27" s="19">
        <v>1412.08072981346</v>
      </c>
      <c r="J27" s="19">
        <v>13.140640194552001</v>
      </c>
      <c r="K27" s="18">
        <v>5.0431244308146002E-2</v>
      </c>
      <c r="L27" s="18">
        <v>3.66768695765853E-3</v>
      </c>
      <c r="M27" s="18">
        <v>989.80757710851503</v>
      </c>
      <c r="N27" s="18">
        <v>70.561764954922197</v>
      </c>
      <c r="O27" s="18">
        <v>8.7580766020348602E-2</v>
      </c>
      <c r="P27" s="18">
        <v>1.5398587180148499E-3</v>
      </c>
      <c r="Q27" s="19">
        <v>1363.2295907914799</v>
      </c>
      <c r="R27" s="19">
        <v>33.050633728285497</v>
      </c>
      <c r="S27" s="18">
        <v>3.9706922306441199</v>
      </c>
      <c r="T27" s="18">
        <v>3.2658063238588601E-2</v>
      </c>
      <c r="U27" s="18">
        <v>1.29186335583352</v>
      </c>
      <c r="V27" s="18">
        <v>8.7105942251090904E-2</v>
      </c>
      <c r="W27" s="18">
        <v>104.62280055698901</v>
      </c>
      <c r="X27" s="18">
        <v>3.03921841836666</v>
      </c>
      <c r="Y27" s="18">
        <v>91.586754604407801</v>
      </c>
      <c r="Z27" s="18">
        <v>5.3409976096446004</v>
      </c>
      <c r="AA27" s="18">
        <v>38.794930673089098</v>
      </c>
      <c r="AB27" s="18">
        <v>1.8050452558844701</v>
      </c>
      <c r="AD27" s="18">
        <v>0.20488697438919001</v>
      </c>
      <c r="AE27" s="18">
        <v>0.29417720376459999</v>
      </c>
      <c r="AG27" s="18">
        <f t="shared" si="0"/>
        <v>-6.1212698735413573</v>
      </c>
    </row>
    <row r="28" spans="1:33" x14ac:dyDescent="0.2">
      <c r="A28" s="18" t="s">
        <v>115</v>
      </c>
      <c r="B28" s="18" t="s">
        <v>90</v>
      </c>
      <c r="C28" s="18">
        <v>0.22812757782352899</v>
      </c>
      <c r="D28" s="18">
        <v>1.6799238354137801E-3</v>
      </c>
      <c r="E28" s="19">
        <v>1324.4498028574801</v>
      </c>
      <c r="F28" s="19">
        <v>8.8415408252025003</v>
      </c>
      <c r="G28" s="18">
        <v>2.6831876809850801</v>
      </c>
      <c r="H28" s="18">
        <v>4.7972483036380603E-2</v>
      </c>
      <c r="I28" s="19">
        <v>1322.21251723914</v>
      </c>
      <c r="J28" s="19">
        <v>13.6999844080031</v>
      </c>
      <c r="K28" s="18">
        <v>6.9622275109842202E-2</v>
      </c>
      <c r="L28" s="18">
        <v>1.5443843253850999E-3</v>
      </c>
      <c r="M28" s="18">
        <v>1359.6015491309599</v>
      </c>
      <c r="N28" s="18">
        <v>29.149363329402899</v>
      </c>
      <c r="O28" s="18">
        <v>8.5517877694557695E-2</v>
      </c>
      <c r="P28" s="18">
        <v>1.4249432101606199E-3</v>
      </c>
      <c r="Q28" s="19">
        <v>1326.11643443705</v>
      </c>
      <c r="R28" s="19">
        <v>33.257412601719501</v>
      </c>
      <c r="S28" s="18">
        <v>4.3788068617893199</v>
      </c>
      <c r="T28" s="18">
        <v>3.2114009827836298E-2</v>
      </c>
      <c r="U28" s="18">
        <v>2.5505843003026301</v>
      </c>
      <c r="V28" s="18">
        <v>2.69512810082491E-2</v>
      </c>
      <c r="W28" s="18">
        <v>103.89122282117</v>
      </c>
      <c r="X28" s="18">
        <v>2.5797484949457701</v>
      </c>
      <c r="Y28" s="18">
        <v>40.430688896152702</v>
      </c>
      <c r="Z28" s="18">
        <v>0.78655083629717404</v>
      </c>
      <c r="AA28" s="18">
        <v>26.994115255563301</v>
      </c>
      <c r="AB28" s="18">
        <v>0.65498085382916005</v>
      </c>
      <c r="AD28" s="18">
        <v>5.58858257571977E-2</v>
      </c>
      <c r="AE28" s="18">
        <v>0.425183613976023</v>
      </c>
      <c r="AG28" s="18">
        <f t="shared" si="0"/>
        <v>0.12567762047812625</v>
      </c>
    </row>
    <row r="29" spans="1:33" x14ac:dyDescent="0.2">
      <c r="A29" s="18" t="s">
        <v>116</v>
      </c>
      <c r="B29" s="18" t="s">
        <v>90</v>
      </c>
      <c r="C29" s="18">
        <v>0.23904958141284699</v>
      </c>
      <c r="D29" s="18">
        <v>2.0222119276097198E-3</v>
      </c>
      <c r="E29" s="19">
        <v>1381.42961542577</v>
      </c>
      <c r="F29" s="19">
        <v>10.533386531335401</v>
      </c>
      <c r="G29" s="18">
        <v>2.8327184937862202</v>
      </c>
      <c r="H29" s="18">
        <v>5.7633636706559598E-2</v>
      </c>
      <c r="I29" s="19">
        <v>1361.61808230563</v>
      </c>
      <c r="J29" s="19">
        <v>15.7200506362234</v>
      </c>
      <c r="K29" s="18">
        <v>6.99239002970512E-2</v>
      </c>
      <c r="L29" s="18">
        <v>1.62031059966612E-3</v>
      </c>
      <c r="M29" s="18">
        <v>1365.22059670823</v>
      </c>
      <c r="N29" s="18">
        <v>30.581798592542501</v>
      </c>
      <c r="O29" s="18">
        <v>8.6708583381187004E-2</v>
      </c>
      <c r="P29" s="18">
        <v>1.82096747906511E-3</v>
      </c>
      <c r="Q29" s="19">
        <v>1332.42649811825</v>
      </c>
      <c r="R29" s="19">
        <v>41.213538981841303</v>
      </c>
      <c r="S29" s="18">
        <v>4.1862662527421701</v>
      </c>
      <c r="T29" s="18">
        <v>3.6102149013512802E-2</v>
      </c>
      <c r="U29" s="18">
        <v>1.8698983770469999</v>
      </c>
      <c r="V29" s="18">
        <v>1.75542392077459E-2</v>
      </c>
      <c r="W29" s="18">
        <v>68.666364241587999</v>
      </c>
      <c r="X29" s="18">
        <v>1.8074107581479899</v>
      </c>
      <c r="Y29" s="18">
        <v>36.492456229814302</v>
      </c>
      <c r="Z29" s="18">
        <v>0.85925510004614702</v>
      </c>
      <c r="AA29" s="18">
        <v>24.299529471820001</v>
      </c>
      <c r="AB29" s="18">
        <v>0.70964835053319597</v>
      </c>
      <c r="AD29" s="18">
        <v>0.22787530953351001</v>
      </c>
      <c r="AE29" s="18">
        <v>0.20668536117684999</v>
      </c>
      <c r="AG29" s="18">
        <f t="shared" si="0"/>
        <v>-3.6777351228548527</v>
      </c>
    </row>
    <row r="30" spans="1:33" x14ac:dyDescent="0.2">
      <c r="A30" s="18" t="s">
        <v>117</v>
      </c>
      <c r="B30" s="18" t="s">
        <v>90</v>
      </c>
      <c r="C30" s="18">
        <v>0.25409115987752401</v>
      </c>
      <c r="D30" s="18">
        <v>2.8271796323317798E-3</v>
      </c>
      <c r="E30" s="19">
        <v>1458.92088328145</v>
      </c>
      <c r="F30" s="19">
        <v>14.545467439028201</v>
      </c>
      <c r="G30" s="18">
        <v>3.2264760764263398</v>
      </c>
      <c r="H30" s="18">
        <v>6.9298694293044694E-2</v>
      </c>
      <c r="I30" s="19">
        <v>1458.4058025536101</v>
      </c>
      <c r="J30" s="19">
        <v>16.6276217955802</v>
      </c>
      <c r="K30" s="18">
        <v>7.49629064162773E-2</v>
      </c>
      <c r="L30" s="18">
        <v>1.48673739921873E-3</v>
      </c>
      <c r="M30" s="18">
        <v>1460.3343411205699</v>
      </c>
      <c r="N30" s="18">
        <v>27.960899560157099</v>
      </c>
      <c r="O30" s="18">
        <v>9.2501395843065506E-2</v>
      </c>
      <c r="P30" s="18">
        <v>1.8292735786915599E-3</v>
      </c>
      <c r="Q30" s="19">
        <v>1459.29240842545</v>
      </c>
      <c r="R30" s="19">
        <v>37.568939903033701</v>
      </c>
      <c r="S30" s="18">
        <v>3.9423956939298499</v>
      </c>
      <c r="T30" s="18">
        <v>4.5612502146471903E-2</v>
      </c>
      <c r="U30" s="18">
        <v>1.01608308027865</v>
      </c>
      <c r="V30" s="18">
        <v>8.9523378657528595E-3</v>
      </c>
      <c r="W30" s="18">
        <v>55.7815867908214</v>
      </c>
      <c r="X30" s="18">
        <v>2.10493425524096</v>
      </c>
      <c r="Y30" s="18">
        <v>55.115272501696197</v>
      </c>
      <c r="Z30" s="18">
        <v>2.19603741940429</v>
      </c>
      <c r="AA30" s="18">
        <v>36.061746547654302</v>
      </c>
      <c r="AB30" s="18">
        <v>1.06447754956341</v>
      </c>
      <c r="AD30" s="18">
        <v>0.123520519189559</v>
      </c>
      <c r="AE30" s="18">
        <v>0.41209362349157302</v>
      </c>
      <c r="AG30" s="18">
        <f t="shared" si="0"/>
        <v>2.5459266549665571E-2</v>
      </c>
    </row>
    <row r="31" spans="1:33" s="20" customFormat="1" x14ac:dyDescent="0.2">
      <c r="A31" s="20" t="s">
        <v>118</v>
      </c>
      <c r="B31" s="20" t="s">
        <v>90</v>
      </c>
      <c r="C31" s="20">
        <v>0.13185710623294</v>
      </c>
      <c r="D31" s="20">
        <v>1.14520111812859E-3</v>
      </c>
      <c r="E31" s="20">
        <v>798.32649951177495</v>
      </c>
      <c r="F31" s="20">
        <v>6.5274080982803504</v>
      </c>
      <c r="G31" s="20">
        <v>1.7788436286118201</v>
      </c>
      <c r="H31" s="20">
        <v>1.95586216163934E-2</v>
      </c>
      <c r="I31" s="20">
        <v>1036.8173235803799</v>
      </c>
      <c r="J31" s="20">
        <v>7.0926099416342501</v>
      </c>
      <c r="K31" s="20">
        <v>1.82463425264584E-2</v>
      </c>
      <c r="L31" s="20">
        <v>3.2587153512135699E-4</v>
      </c>
      <c r="M31" s="20">
        <v>365.43589760934901</v>
      </c>
      <c r="N31" s="20">
        <v>6.4720694564522097</v>
      </c>
      <c r="O31" s="20">
        <v>9.8608872722193097E-2</v>
      </c>
      <c r="P31" s="20">
        <v>1.1124936114146301E-3</v>
      </c>
      <c r="Q31" s="20">
        <v>1591.6255972305401</v>
      </c>
      <c r="R31" s="20">
        <v>20.9019957018509</v>
      </c>
      <c r="S31" s="20">
        <v>7.5837486861835099</v>
      </c>
      <c r="T31" s="20">
        <v>6.5120740709863706E-2</v>
      </c>
      <c r="U31" s="20">
        <v>0.90598091887095</v>
      </c>
      <c r="V31" s="20">
        <v>1.63628866301695E-2</v>
      </c>
      <c r="W31" s="20">
        <v>516.94273146289697</v>
      </c>
      <c r="X31" s="20">
        <v>15.3421647406152</v>
      </c>
      <c r="Y31" s="20">
        <v>566.30622288668997</v>
      </c>
      <c r="Z31" s="20">
        <v>11.8472912260206</v>
      </c>
      <c r="AA31" s="20">
        <v>91.743715980522595</v>
      </c>
      <c r="AB31" s="20">
        <v>1.79122978784538</v>
      </c>
      <c r="AD31" s="20">
        <v>0.38146306001827801</v>
      </c>
      <c r="AE31" s="20">
        <v>0.38812592188544698</v>
      </c>
      <c r="AG31" s="20">
        <f t="shared" si="0"/>
        <v>49.842067072753871</v>
      </c>
    </row>
    <row r="32" spans="1:33" x14ac:dyDescent="0.2">
      <c r="A32" s="18" t="s">
        <v>119</v>
      </c>
      <c r="B32" s="18" t="s">
        <v>90</v>
      </c>
      <c r="C32" s="18">
        <v>0.199245602380687</v>
      </c>
      <c r="D32" s="18">
        <v>1.3719657675013699E-3</v>
      </c>
      <c r="E32" s="19">
        <v>1171.1083103758101</v>
      </c>
      <c r="F32" s="19">
        <v>7.3704032800972801</v>
      </c>
      <c r="G32" s="18">
        <v>2.27667089813075</v>
      </c>
      <c r="H32" s="18">
        <v>2.8845715068427698E-2</v>
      </c>
      <c r="I32" s="19">
        <v>1205.8643294158401</v>
      </c>
      <c r="J32" s="19">
        <v>8.8665051571257703</v>
      </c>
      <c r="K32" s="18">
        <v>2.92599230991465E-2</v>
      </c>
      <c r="L32" s="18">
        <v>1.46734417559359E-3</v>
      </c>
      <c r="M32" s="18">
        <v>582.15248394246601</v>
      </c>
      <c r="N32" s="18">
        <v>28.7702245872091</v>
      </c>
      <c r="O32" s="18">
        <v>8.3300639363052306E-2</v>
      </c>
      <c r="P32" s="18">
        <v>9.9889025345110201E-4</v>
      </c>
      <c r="Q32" s="19">
        <v>1268.6792991696</v>
      </c>
      <c r="R32" s="19">
        <v>23.4119161386256</v>
      </c>
      <c r="S32" s="18">
        <v>5.0145806412172904</v>
      </c>
      <c r="T32" s="18">
        <v>3.5465052728241603E-2</v>
      </c>
      <c r="U32" s="18">
        <v>1.0606058272721</v>
      </c>
      <c r="V32" s="18">
        <v>6.1176723262128703E-2</v>
      </c>
      <c r="W32" s="18">
        <v>357.60747947568899</v>
      </c>
      <c r="X32" s="18">
        <v>9.8626583471349605</v>
      </c>
      <c r="Y32" s="18">
        <v>360.83365594438499</v>
      </c>
      <c r="Z32" s="18">
        <v>16.0772296008669</v>
      </c>
      <c r="AA32" s="18">
        <v>85.832480158595899</v>
      </c>
      <c r="AB32" s="18">
        <v>1.5661455921845699</v>
      </c>
      <c r="AD32" s="18">
        <v>0.19266323892846701</v>
      </c>
      <c r="AE32" s="18">
        <v>0.41187331788755099</v>
      </c>
      <c r="AG32" s="18">
        <f t="shared" si="0"/>
        <v>7.6907528055083603</v>
      </c>
    </row>
    <row r="33" spans="1:33" x14ac:dyDescent="0.2">
      <c r="A33" s="18" t="s">
        <v>120</v>
      </c>
      <c r="B33" s="18" t="s">
        <v>90</v>
      </c>
      <c r="C33" s="18">
        <v>0.22876254120036299</v>
      </c>
      <c r="D33" s="18">
        <v>1.55344539037986E-3</v>
      </c>
      <c r="E33" s="19">
        <v>1327.8157588428401</v>
      </c>
      <c r="F33" s="19">
        <v>8.1530449007178696</v>
      </c>
      <c r="G33" s="18">
        <v>2.76403578534133</v>
      </c>
      <c r="H33" s="18">
        <v>4.9581403600075603E-2</v>
      </c>
      <c r="I33" s="19">
        <v>1344.20704120337</v>
      </c>
      <c r="J33" s="19">
        <v>13.089169311449499</v>
      </c>
      <c r="K33" s="18">
        <v>5.3030601969252099E-2</v>
      </c>
      <c r="L33" s="18">
        <v>1.4859417780586899E-3</v>
      </c>
      <c r="M33" s="18">
        <v>1043.65167591359</v>
      </c>
      <c r="N33" s="18">
        <v>28.546459601549898</v>
      </c>
      <c r="O33" s="18">
        <v>8.8022362003034704E-2</v>
      </c>
      <c r="P33" s="18">
        <v>1.447199716552E-3</v>
      </c>
      <c r="Q33" s="19">
        <v>1374.3815574845901</v>
      </c>
      <c r="R33" s="19">
        <v>30.372853023018699</v>
      </c>
      <c r="S33" s="18">
        <v>4.3668439533822196</v>
      </c>
      <c r="T33" s="18">
        <v>2.8684799218197402E-2</v>
      </c>
      <c r="U33" s="18">
        <v>1.05771253246063</v>
      </c>
      <c r="V33" s="18">
        <v>2.3191964173008301E-2</v>
      </c>
      <c r="W33" s="18">
        <v>137.365024788033</v>
      </c>
      <c r="X33" s="18">
        <v>7.1105671996644597</v>
      </c>
      <c r="Y33" s="18">
        <v>127.762903968506</v>
      </c>
      <c r="Z33" s="18">
        <v>4.9423287342085098</v>
      </c>
      <c r="AA33" s="18">
        <v>59.065270061495198</v>
      </c>
      <c r="AB33" s="18">
        <v>2.8074248433809399</v>
      </c>
      <c r="AD33" s="18">
        <v>8.1765084226769799E-2</v>
      </c>
      <c r="AE33" s="18">
        <v>0.32942426481034798</v>
      </c>
      <c r="AG33" s="18">
        <f t="shared" si="0"/>
        <v>3.3881274372580594</v>
      </c>
    </row>
    <row r="34" spans="1:33" x14ac:dyDescent="0.2">
      <c r="A34" s="18" t="s">
        <v>121</v>
      </c>
      <c r="B34" s="18" t="s">
        <v>90</v>
      </c>
      <c r="C34" s="18">
        <v>0.254006019498626</v>
      </c>
      <c r="D34" s="18">
        <v>1.7474366121670601E-3</v>
      </c>
      <c r="E34" s="19">
        <v>1458.8654971568801</v>
      </c>
      <c r="F34" s="19">
        <v>8.9982081331084203</v>
      </c>
      <c r="G34" s="18">
        <v>3.2585160881829101</v>
      </c>
      <c r="H34" s="18">
        <v>5.0424109218241503E-2</v>
      </c>
      <c r="I34" s="19">
        <v>1470.12252448347</v>
      </c>
      <c r="J34" s="19">
        <v>11.6863310909359</v>
      </c>
      <c r="K34" s="18">
        <v>7.4610932380154704E-2</v>
      </c>
      <c r="L34" s="18">
        <v>1.2616585669736799E-3</v>
      </c>
      <c r="M34" s="18">
        <v>1453.9198963629301</v>
      </c>
      <c r="N34" s="18">
        <v>23.708738270993901</v>
      </c>
      <c r="O34" s="18">
        <v>9.3482368572069097E-2</v>
      </c>
      <c r="P34" s="18">
        <v>1.35872781106458E-3</v>
      </c>
      <c r="Q34" s="19">
        <v>1487.2057077586701</v>
      </c>
      <c r="R34" s="19">
        <v>27.9223141216148</v>
      </c>
      <c r="S34" s="18">
        <v>3.93366764715448</v>
      </c>
      <c r="T34" s="18">
        <v>2.68125476447632E-2</v>
      </c>
      <c r="U34" s="18">
        <v>1.8183956756023001</v>
      </c>
      <c r="V34" s="18">
        <v>1.7652207806367799E-2</v>
      </c>
      <c r="W34" s="18">
        <v>167.404604898522</v>
      </c>
      <c r="X34" s="18">
        <v>1.89057280066383</v>
      </c>
      <c r="Y34" s="18">
        <v>91.181730982009</v>
      </c>
      <c r="Z34" s="18">
        <v>1.3936521472675401</v>
      </c>
      <c r="AA34" s="18">
        <v>59.971896624310098</v>
      </c>
      <c r="AB34" s="18">
        <v>1.04114941445799</v>
      </c>
      <c r="AD34" s="18">
        <v>9.27735344011614E-2</v>
      </c>
      <c r="AE34" s="18">
        <v>0.346129824853247</v>
      </c>
      <c r="AG34" s="18">
        <f t="shared" si="0"/>
        <v>1.9056012530035749</v>
      </c>
    </row>
    <row r="35" spans="1:33" x14ac:dyDescent="0.2">
      <c r="A35" s="18" t="s">
        <v>122</v>
      </c>
      <c r="B35" s="18" t="s">
        <v>90</v>
      </c>
      <c r="C35" s="18">
        <v>0.24056751423622399</v>
      </c>
      <c r="D35" s="18">
        <v>1.52198652689732E-3</v>
      </c>
      <c r="E35" s="19">
        <v>1389.46485479797</v>
      </c>
      <c r="F35" s="19">
        <v>7.9070876150881801</v>
      </c>
      <c r="G35" s="18">
        <v>3.0062261426298398</v>
      </c>
      <c r="H35" s="18">
        <v>3.6325604529907497E-2</v>
      </c>
      <c r="I35" s="19">
        <v>1407.6371594889599</v>
      </c>
      <c r="J35" s="19">
        <v>9.1953692939149896</v>
      </c>
      <c r="K35" s="18">
        <v>6.1047387614891799E-2</v>
      </c>
      <c r="L35" s="18">
        <v>1.0205884780438901E-3</v>
      </c>
      <c r="M35" s="18">
        <v>1197.3561517549399</v>
      </c>
      <c r="N35" s="18">
        <v>19.423775975875401</v>
      </c>
      <c r="O35" s="18">
        <v>9.1124401609058298E-2</v>
      </c>
      <c r="P35" s="18">
        <v>1.0989042092174801E-3</v>
      </c>
      <c r="Q35" s="19">
        <v>1441.84239355148</v>
      </c>
      <c r="R35" s="19">
        <v>22.915297629064501</v>
      </c>
      <c r="S35" s="18">
        <v>4.1523755839722201</v>
      </c>
      <c r="T35" s="18">
        <v>2.54816537369278E-2</v>
      </c>
      <c r="U35" s="18">
        <v>1.35654125570119</v>
      </c>
      <c r="V35" s="18">
        <v>2.7980891793245199E-2</v>
      </c>
      <c r="W35" s="18">
        <v>181.12521868575601</v>
      </c>
      <c r="X35" s="18">
        <v>6.9148212464779002</v>
      </c>
      <c r="Y35" s="18">
        <v>132.30791939222701</v>
      </c>
      <c r="Z35" s="18">
        <v>4.3318978524757297</v>
      </c>
      <c r="AA35" s="18">
        <v>72.679140675061007</v>
      </c>
      <c r="AB35" s="18">
        <v>3.0103954779870099</v>
      </c>
      <c r="AD35" s="18">
        <v>0.254339619317279</v>
      </c>
      <c r="AE35" s="18">
        <v>0.27976531872353499</v>
      </c>
      <c r="AG35" s="18">
        <f t="shared" si="0"/>
        <v>3.6326812824871935</v>
      </c>
    </row>
    <row r="36" spans="1:33" s="20" customFormat="1" x14ac:dyDescent="0.2">
      <c r="A36" s="20" t="s">
        <v>123</v>
      </c>
      <c r="B36" s="20" t="s">
        <v>90</v>
      </c>
      <c r="C36" s="20">
        <v>0.202258678927101</v>
      </c>
      <c r="D36" s="20">
        <v>5.0860603733233504E-3</v>
      </c>
      <c r="E36" s="20">
        <v>1186.61646773692</v>
      </c>
      <c r="F36" s="20">
        <v>27.372042449235</v>
      </c>
      <c r="G36" s="20">
        <v>2.9022618319233202</v>
      </c>
      <c r="H36" s="20">
        <v>6.3268155108934104E-2</v>
      </c>
      <c r="I36" s="20">
        <v>1380.5958844791701</v>
      </c>
      <c r="J36" s="20">
        <v>16.491564066951199</v>
      </c>
      <c r="K36" s="20">
        <v>3.3076954452876998E-2</v>
      </c>
      <c r="L36" s="20">
        <v>1.6713297370678499E-3</v>
      </c>
      <c r="M36" s="20">
        <v>657.36310909281895</v>
      </c>
      <c r="N36" s="20">
        <v>32.693297453818701</v>
      </c>
      <c r="O36" s="20">
        <v>0.104483787106424</v>
      </c>
      <c r="P36" s="20">
        <v>2.0289183026399398E-3</v>
      </c>
      <c r="Q36" s="20">
        <v>1705.2284806704299</v>
      </c>
      <c r="R36" s="20">
        <v>38.4292126941898</v>
      </c>
      <c r="S36" s="20">
        <v>4.98261222588929</v>
      </c>
      <c r="T36" s="20">
        <v>0.13269129147658401</v>
      </c>
      <c r="U36" s="20">
        <v>1.04262587183519</v>
      </c>
      <c r="V36" s="20">
        <v>6.09591666735348E-2</v>
      </c>
      <c r="W36" s="20">
        <v>1563.26055700094</v>
      </c>
      <c r="X36" s="20">
        <v>16.130358181516499</v>
      </c>
      <c r="Y36" s="20">
        <v>1603.5438111149699</v>
      </c>
      <c r="Z36" s="20">
        <v>96.322396822857002</v>
      </c>
      <c r="AA36" s="20">
        <v>494.404817545838</v>
      </c>
      <c r="AB36" s="20">
        <v>12.104588835885901</v>
      </c>
      <c r="AD36" s="20">
        <v>0.601731452199464</v>
      </c>
      <c r="AE36" s="20">
        <v>0.63609731743158704</v>
      </c>
      <c r="AG36" s="20">
        <f t="shared" si="0"/>
        <v>30.413051319059115</v>
      </c>
    </row>
    <row r="37" spans="1:33" x14ac:dyDescent="0.2">
      <c r="A37" s="18" t="s">
        <v>124</v>
      </c>
      <c r="B37" s="18" t="s">
        <v>90</v>
      </c>
      <c r="C37" s="18">
        <v>0.234127999543225</v>
      </c>
      <c r="D37" s="18">
        <v>2.5176222209244699E-3</v>
      </c>
      <c r="E37" s="19">
        <v>1355.59410130166</v>
      </c>
      <c r="F37" s="19">
        <v>13.096903742402301</v>
      </c>
      <c r="G37" s="18">
        <v>2.8065710859110502</v>
      </c>
      <c r="H37" s="18">
        <v>6.0631493904235598E-2</v>
      </c>
      <c r="I37" s="19">
        <v>1354.79685796379</v>
      </c>
      <c r="J37" s="19">
        <v>16.6178818293352</v>
      </c>
      <c r="K37" s="18">
        <v>7.1602005269548394E-2</v>
      </c>
      <c r="L37" s="18">
        <v>1.9545289733036799E-3</v>
      </c>
      <c r="M37" s="18">
        <v>1396.5054508824501</v>
      </c>
      <c r="N37" s="18">
        <v>36.792786154087302</v>
      </c>
      <c r="O37" s="18">
        <v>8.7370085605743497E-2</v>
      </c>
      <c r="P37" s="18">
        <v>1.8771116362716199E-3</v>
      </c>
      <c r="Q37" s="19">
        <v>1356.0130989772299</v>
      </c>
      <c r="R37" s="19">
        <v>42.280086613819101</v>
      </c>
      <c r="S37" s="18">
        <v>4.27524472921246</v>
      </c>
      <c r="T37" s="18">
        <v>4.63055029972484E-2</v>
      </c>
      <c r="U37" s="18">
        <v>2.3724611601275098</v>
      </c>
      <c r="V37" s="18">
        <v>3.7726631881385198E-2</v>
      </c>
      <c r="W37" s="18">
        <v>128.28809170171601</v>
      </c>
      <c r="X37" s="18">
        <v>1.84903777032225</v>
      </c>
      <c r="Y37" s="18">
        <v>54.439956671259701</v>
      </c>
      <c r="Z37" s="18">
        <v>0.98443273364537898</v>
      </c>
      <c r="AA37" s="18">
        <v>39.988012057261102</v>
      </c>
      <c r="AB37" s="18">
        <v>1.00295854484553</v>
      </c>
      <c r="AD37" s="18">
        <v>0.17682063228757799</v>
      </c>
      <c r="AE37" s="18">
        <v>0.36837265221492899</v>
      </c>
      <c r="AG37" s="18">
        <f t="shared" si="0"/>
        <v>3.0899235109593803E-2</v>
      </c>
    </row>
    <row r="38" spans="1:33" x14ac:dyDescent="0.2">
      <c r="A38" s="18" t="s">
        <v>125</v>
      </c>
      <c r="B38" s="18" t="s">
        <v>90</v>
      </c>
      <c r="C38" s="18">
        <v>0.25478584225678902</v>
      </c>
      <c r="D38" s="18">
        <v>1.40984736126293E-3</v>
      </c>
      <c r="E38" s="19">
        <v>1462.95606197298</v>
      </c>
      <c r="F38" s="19">
        <v>7.249965983719</v>
      </c>
      <c r="G38" s="18">
        <v>3.1740541146884902</v>
      </c>
      <c r="H38" s="18">
        <v>4.1743355820704202E-2</v>
      </c>
      <c r="I38" s="19">
        <v>1448.9533254548601</v>
      </c>
      <c r="J38" s="19">
        <v>10.151787280911901</v>
      </c>
      <c r="K38" s="18">
        <v>7.3647570544350699E-2</v>
      </c>
      <c r="L38" s="18">
        <v>1.12914481585994E-3</v>
      </c>
      <c r="M38" s="18">
        <v>1435.89472288197</v>
      </c>
      <c r="N38" s="18">
        <v>21.278055542044001</v>
      </c>
      <c r="O38" s="18">
        <v>9.0221331783336897E-2</v>
      </c>
      <c r="P38" s="18">
        <v>1.0661082745744E-3</v>
      </c>
      <c r="Q38" s="19">
        <v>1423.0078357631</v>
      </c>
      <c r="R38" s="19">
        <v>22.621121787047102</v>
      </c>
      <c r="S38" s="18">
        <v>3.9223564253203298</v>
      </c>
      <c r="T38" s="18">
        <v>2.1967483751665701E-2</v>
      </c>
      <c r="U38" s="18">
        <v>2.3353355203640298</v>
      </c>
      <c r="V38" s="18">
        <v>1.7527690943560801E-2</v>
      </c>
      <c r="W38" s="18">
        <v>228.52788210351099</v>
      </c>
      <c r="X38" s="18">
        <v>2.3434858877582201</v>
      </c>
      <c r="Y38" s="18">
        <v>99.207727314667196</v>
      </c>
      <c r="Z38" s="18">
        <v>1.1241166034879599</v>
      </c>
      <c r="AA38" s="18">
        <v>74.953651195879601</v>
      </c>
      <c r="AB38" s="18">
        <v>1.33203467243097</v>
      </c>
      <c r="AD38" s="18">
        <v>0.108295309953907</v>
      </c>
      <c r="AE38" s="18">
        <v>0.46009268446718199</v>
      </c>
      <c r="AG38" s="18">
        <f t="shared" si="0"/>
        <v>-2.8073089413775065</v>
      </c>
    </row>
    <row r="39" spans="1:33" x14ac:dyDescent="0.2">
      <c r="A39" s="18" t="s">
        <v>126</v>
      </c>
      <c r="B39" s="18" t="s">
        <v>90</v>
      </c>
      <c r="C39" s="18">
        <v>0.25113871621742601</v>
      </c>
      <c r="D39" s="18">
        <v>1.7059031368042801E-3</v>
      </c>
      <c r="E39" s="19">
        <v>1444.1205181425601</v>
      </c>
      <c r="F39" s="19">
        <v>8.8008991908531709</v>
      </c>
      <c r="G39" s="18">
        <v>3.1465896900832702</v>
      </c>
      <c r="H39" s="18">
        <v>4.6524958990186403E-2</v>
      </c>
      <c r="I39" s="19">
        <v>1443.1892171514701</v>
      </c>
      <c r="J39" s="19">
        <v>11.6733715696123</v>
      </c>
      <c r="K39" s="18">
        <v>6.7139471515099095E-2</v>
      </c>
      <c r="L39" s="18">
        <v>1.5340046723515499E-3</v>
      </c>
      <c r="M39" s="18">
        <v>1312.6424129152299</v>
      </c>
      <c r="N39" s="18">
        <v>29.027669737249699</v>
      </c>
      <c r="O39" s="18">
        <v>9.0960974668645903E-2</v>
      </c>
      <c r="P39" s="18">
        <v>1.47532049866257E-3</v>
      </c>
      <c r="Q39" s="19">
        <v>1436.82809691332</v>
      </c>
      <c r="R39" s="19">
        <v>31.714057153534601</v>
      </c>
      <c r="S39" s="18">
        <v>3.9816392786127199</v>
      </c>
      <c r="T39" s="18">
        <v>2.7508289494816401E-2</v>
      </c>
      <c r="U39" s="18">
        <v>1.9640012095262001</v>
      </c>
      <c r="V39" s="18">
        <v>4.0016215708584303E-2</v>
      </c>
      <c r="W39" s="18">
        <v>147.143092573438</v>
      </c>
      <c r="X39" s="18">
        <v>1.4356744717795</v>
      </c>
      <c r="Y39" s="18">
        <v>76.478338032641005</v>
      </c>
      <c r="Z39" s="18">
        <v>1.3238341776257001</v>
      </c>
      <c r="AA39" s="18">
        <v>52.112760547793002</v>
      </c>
      <c r="AB39" s="18">
        <v>1.1883631256685701</v>
      </c>
      <c r="AD39" s="18">
        <v>0.41241789729744299</v>
      </c>
      <c r="AE39" s="18">
        <v>4.9065945868137999E-2</v>
      </c>
      <c r="AG39" s="18">
        <f t="shared" si="0"/>
        <v>-0.50753609599547556</v>
      </c>
    </row>
    <row r="40" spans="1:33" x14ac:dyDescent="0.2">
      <c r="A40" s="18" t="s">
        <v>127</v>
      </c>
      <c r="B40" s="18" t="s">
        <v>90</v>
      </c>
      <c r="C40" s="18">
        <v>0.25896314820641098</v>
      </c>
      <c r="D40" s="18">
        <v>1.8377336115556701E-3</v>
      </c>
      <c r="E40" s="19">
        <v>1484.2751147704701</v>
      </c>
      <c r="F40" s="19">
        <v>9.4261549809330099</v>
      </c>
      <c r="G40" s="18">
        <v>3.3273690924402302</v>
      </c>
      <c r="H40" s="18">
        <v>5.3304768311961397E-2</v>
      </c>
      <c r="I40" s="19">
        <v>1486.0924361490299</v>
      </c>
      <c r="J40" s="19">
        <v>12.9211438755716</v>
      </c>
      <c r="K40" s="18">
        <v>7.5592805274854596E-2</v>
      </c>
      <c r="L40" s="18">
        <v>1.17646058964848E-3</v>
      </c>
      <c r="M40" s="18">
        <v>1472.44793139699</v>
      </c>
      <c r="N40" s="18">
        <v>22.117928102464301</v>
      </c>
      <c r="O40" s="18">
        <v>9.3425592085606093E-2</v>
      </c>
      <c r="P40" s="18">
        <v>1.49948152157817E-3</v>
      </c>
      <c r="Q40" s="19">
        <v>1484.02888449293</v>
      </c>
      <c r="R40" s="19">
        <v>30.664204976394601</v>
      </c>
      <c r="S40" s="18">
        <v>3.8547244488654102</v>
      </c>
      <c r="T40" s="18">
        <v>2.7640182242592001E-2</v>
      </c>
      <c r="U40" s="18">
        <v>1.6112308170590399</v>
      </c>
      <c r="V40" s="18">
        <v>2.9135239171657199E-2</v>
      </c>
      <c r="W40" s="18">
        <v>175.711861626629</v>
      </c>
      <c r="X40" s="18">
        <v>3.9118779920672799</v>
      </c>
      <c r="Y40" s="18">
        <v>112.562853954983</v>
      </c>
      <c r="Z40" s="18">
        <v>4.3873557561752996</v>
      </c>
      <c r="AA40" s="18">
        <v>84.727833726472099</v>
      </c>
      <c r="AB40" s="18">
        <v>2.4580175152439199</v>
      </c>
      <c r="AD40" s="18">
        <v>0.17669248038207799</v>
      </c>
      <c r="AE40" s="18">
        <v>0.29329189128637501</v>
      </c>
      <c r="AG40" s="18">
        <f t="shared" si="0"/>
        <v>-1.6592013815430739E-2</v>
      </c>
    </row>
    <row r="41" spans="1:33" s="20" customFormat="1" x14ac:dyDescent="0.2">
      <c r="A41" s="20" t="s">
        <v>128</v>
      </c>
      <c r="B41" s="20" t="s">
        <v>90</v>
      </c>
      <c r="C41" s="20">
        <v>0.13721271960544701</v>
      </c>
      <c r="D41" s="20">
        <v>4.4277383147144998E-3</v>
      </c>
      <c r="E41" s="20">
        <v>827.02603123507402</v>
      </c>
      <c r="F41" s="20">
        <v>25.213745950521599</v>
      </c>
      <c r="G41" s="20">
        <v>3.1955635658995898</v>
      </c>
      <c r="H41" s="20">
        <v>8.2760104531528197E-2</v>
      </c>
      <c r="I41" s="20">
        <v>1448.45565474214</v>
      </c>
      <c r="J41" s="20">
        <v>20.3834440670317</v>
      </c>
      <c r="K41" s="20">
        <v>6.9254601658957193E-2</v>
      </c>
      <c r="L41" s="20">
        <v>1.50244382596106E-3</v>
      </c>
      <c r="M41" s="20">
        <v>1352.68958069834</v>
      </c>
      <c r="N41" s="20">
        <v>28.509413035913099</v>
      </c>
      <c r="O41" s="20">
        <v>0.17128503683657201</v>
      </c>
      <c r="P41" s="20">
        <v>2.5578134355525202E-3</v>
      </c>
      <c r="Q41" s="20">
        <v>2561.3168554377598</v>
      </c>
      <c r="R41" s="20">
        <v>24.9526785420618</v>
      </c>
      <c r="S41" s="20">
        <v>7.6050789258943698</v>
      </c>
      <c r="T41" s="20">
        <v>0.27458844969505097</v>
      </c>
      <c r="U41" s="20">
        <v>1.4261474575013999</v>
      </c>
      <c r="V41" s="20">
        <v>3.8540537953015798E-2</v>
      </c>
      <c r="W41" s="20">
        <v>2138.2091428093199</v>
      </c>
      <c r="X41" s="20">
        <v>82.270220588011995</v>
      </c>
      <c r="Y41" s="20">
        <v>1505.6537782990699</v>
      </c>
      <c r="Z41" s="20">
        <v>34.232431089528298</v>
      </c>
      <c r="AA41" s="20">
        <v>1042.1126472251201</v>
      </c>
      <c r="AB41" s="20">
        <v>27.463368806239401</v>
      </c>
      <c r="AD41" s="20">
        <v>0.69655170104821595</v>
      </c>
      <c r="AE41" s="20">
        <v>0.901048386751792</v>
      </c>
      <c r="AG41" s="20">
        <f t="shared" si="0"/>
        <v>67.710905057323515</v>
      </c>
    </row>
    <row r="42" spans="1:33" x14ac:dyDescent="0.2">
      <c r="A42" s="18" t="s">
        <v>129</v>
      </c>
      <c r="B42" s="18" t="s">
        <v>90</v>
      </c>
      <c r="C42" s="18">
        <v>0.23373148184780401</v>
      </c>
      <c r="D42" s="18">
        <v>1.6599555659780299E-3</v>
      </c>
      <c r="E42" s="19">
        <v>1353.80580468637</v>
      </c>
      <c r="F42" s="19">
        <v>8.6760724420713995</v>
      </c>
      <c r="G42" s="18">
        <v>2.81909910822377</v>
      </c>
      <c r="H42" s="18">
        <v>5.3068151444765801E-2</v>
      </c>
      <c r="I42" s="19">
        <v>1358.6404406434301</v>
      </c>
      <c r="J42" s="19">
        <v>14.276002579344899</v>
      </c>
      <c r="K42" s="18">
        <v>6.89271172810412E-2</v>
      </c>
      <c r="L42" s="18">
        <v>1.56874725149681E-3</v>
      </c>
      <c r="M42" s="18">
        <v>1346.43284282683</v>
      </c>
      <c r="N42" s="18">
        <v>29.6825639720855</v>
      </c>
      <c r="O42" s="18">
        <v>8.7647978547481104E-2</v>
      </c>
      <c r="P42" s="18">
        <v>1.61499375049211E-3</v>
      </c>
      <c r="Q42" s="19">
        <v>1367.0118498577599</v>
      </c>
      <c r="R42" s="19">
        <v>35.0014370385815</v>
      </c>
      <c r="S42" s="18">
        <v>4.2747000239201398</v>
      </c>
      <c r="T42" s="18">
        <v>3.1615028582967997E-2</v>
      </c>
      <c r="U42" s="18">
        <v>2.0163825365346799</v>
      </c>
      <c r="V42" s="18">
        <v>2.1976925907895298E-2</v>
      </c>
      <c r="W42" s="18">
        <v>105.107295313211</v>
      </c>
      <c r="X42" s="18">
        <v>1.51057300645204</v>
      </c>
      <c r="Y42" s="18">
        <v>52.615743508282002</v>
      </c>
      <c r="Z42" s="18">
        <v>0.96933825763933901</v>
      </c>
      <c r="AA42" s="18">
        <v>35.471308261229197</v>
      </c>
      <c r="AB42" s="18">
        <v>0.86157306760949304</v>
      </c>
      <c r="AD42" s="18">
        <v>0.192462662265552</v>
      </c>
      <c r="AE42" s="18">
        <v>0.25816440474368102</v>
      </c>
      <c r="AG42" s="18">
        <f t="shared" si="0"/>
        <v>0.96605198943695569</v>
      </c>
    </row>
    <row r="43" spans="1:33" x14ac:dyDescent="0.2">
      <c r="A43" s="18" t="s">
        <v>130</v>
      </c>
      <c r="B43" s="18" t="s">
        <v>90</v>
      </c>
      <c r="C43" s="18">
        <v>0.21997401769605501</v>
      </c>
      <c r="D43" s="18">
        <v>2.2039303906763899E-3</v>
      </c>
      <c r="E43" s="19">
        <v>1281.3440147189699</v>
      </c>
      <c r="F43" s="19">
        <v>11.629367429999199</v>
      </c>
      <c r="G43" s="18">
        <v>2.6674267099095701</v>
      </c>
      <c r="H43" s="18">
        <v>6.4908601317873002E-2</v>
      </c>
      <c r="I43" s="19">
        <v>1313.3952196226801</v>
      </c>
      <c r="J43" s="19">
        <v>18.262144689734502</v>
      </c>
      <c r="K43" s="18">
        <v>6.3490743737752695E-2</v>
      </c>
      <c r="L43" s="18">
        <v>2.3770947396636599E-3</v>
      </c>
      <c r="M43" s="18">
        <v>1242.30968368238</v>
      </c>
      <c r="N43" s="18">
        <v>45.071793324009299</v>
      </c>
      <c r="O43" s="18">
        <v>8.7735398656224206E-2</v>
      </c>
      <c r="P43" s="18">
        <v>2.15510475140191E-3</v>
      </c>
      <c r="Q43" s="19">
        <v>1354.1024326485999</v>
      </c>
      <c r="R43" s="19">
        <v>47.160926228262298</v>
      </c>
      <c r="S43" s="18">
        <v>4.5488986503401501</v>
      </c>
      <c r="T43" s="18">
        <v>4.6580160063848901E-2</v>
      </c>
      <c r="U43" s="18">
        <v>2.2829461577124301</v>
      </c>
      <c r="V43" s="18">
        <v>3.1047851256687398E-2</v>
      </c>
      <c r="W43" s="18">
        <v>66.364295735846</v>
      </c>
      <c r="X43" s="18">
        <v>1.14086558387019</v>
      </c>
      <c r="Y43" s="18">
        <v>28.606598982839198</v>
      </c>
      <c r="Z43" s="18">
        <v>0.55194720989304702</v>
      </c>
      <c r="AA43" s="18">
        <v>15.557428917136001</v>
      </c>
      <c r="AB43" s="18">
        <v>0.58913167340796702</v>
      </c>
      <c r="AD43" s="18">
        <v>0.23925180607809099</v>
      </c>
      <c r="AE43" s="18">
        <v>0.20772709278294599</v>
      </c>
      <c r="AG43" s="18">
        <f t="shared" si="0"/>
        <v>5.3731841975437451</v>
      </c>
    </row>
    <row r="44" spans="1:33" x14ac:dyDescent="0.2">
      <c r="A44" s="18" t="s">
        <v>131</v>
      </c>
      <c r="B44" s="18" t="s">
        <v>90</v>
      </c>
      <c r="C44" s="18">
        <v>0.24622108227245301</v>
      </c>
      <c r="D44" s="18">
        <v>1.9791302423018001E-3</v>
      </c>
      <c r="E44" s="19">
        <v>1418.6531579248799</v>
      </c>
      <c r="F44" s="19">
        <v>10.234846128995599</v>
      </c>
      <c r="G44" s="18">
        <v>3.1393927053381701</v>
      </c>
      <c r="H44" s="18">
        <v>4.3172093761908101E-2</v>
      </c>
      <c r="I44" s="19">
        <v>1440.37871663602</v>
      </c>
      <c r="J44" s="19">
        <v>10.409219561315901</v>
      </c>
      <c r="K44" s="18">
        <v>3.5363918869892999E-2</v>
      </c>
      <c r="L44" s="18">
        <v>1.2305730160872999E-3</v>
      </c>
      <c r="M44" s="18">
        <v>705.44083363351206</v>
      </c>
      <c r="N44" s="18">
        <v>24.866883045250699</v>
      </c>
      <c r="O44" s="18">
        <v>9.1972352240538596E-2</v>
      </c>
      <c r="P44" s="18">
        <v>1.1039471326806799E-3</v>
      </c>
      <c r="Q44" s="19">
        <v>1462.1141934284699</v>
      </c>
      <c r="R44" s="19">
        <v>23.469722247716799</v>
      </c>
      <c r="S44" s="18">
        <v>4.0638082675382696</v>
      </c>
      <c r="T44" s="18">
        <v>3.2780035849922E-2</v>
      </c>
      <c r="U44" s="18">
        <v>1.17343711156581</v>
      </c>
      <c r="V44" s="18">
        <v>4.3212200263212902E-2</v>
      </c>
      <c r="W44" s="18">
        <v>542.63323028878199</v>
      </c>
      <c r="X44" s="18">
        <v>13.8848336107267</v>
      </c>
      <c r="Y44" s="18">
        <v>479.05554777482803</v>
      </c>
      <c r="Z44" s="18">
        <v>22.835141565256301</v>
      </c>
      <c r="AA44" s="18">
        <v>140.46271408073599</v>
      </c>
      <c r="AB44" s="18">
        <v>2.6466363199753</v>
      </c>
      <c r="AD44" s="18">
        <v>0.23038442559373101</v>
      </c>
      <c r="AE44" s="18">
        <v>0.46327349929136802</v>
      </c>
      <c r="AG44" s="18">
        <f t="shared" si="0"/>
        <v>2.9724788733279106</v>
      </c>
    </row>
    <row r="45" spans="1:33" x14ac:dyDescent="0.2">
      <c r="A45" s="18" t="s">
        <v>132</v>
      </c>
      <c r="B45" s="18" t="s">
        <v>90</v>
      </c>
      <c r="C45" s="18">
        <v>0.21203585675140199</v>
      </c>
      <c r="D45" s="18">
        <v>1.2860792059899799E-3</v>
      </c>
      <c r="E45" s="19">
        <v>1239.5180167563201</v>
      </c>
      <c r="F45" s="19">
        <v>6.8376249782427596</v>
      </c>
      <c r="G45" s="18">
        <v>2.3775783768737102</v>
      </c>
      <c r="H45" s="18">
        <v>3.8629297847372998E-2</v>
      </c>
      <c r="I45" s="19">
        <v>1233.3953541868</v>
      </c>
      <c r="J45" s="19">
        <v>11.5495813044194</v>
      </c>
      <c r="K45" s="18">
        <v>6.2995541819536899E-2</v>
      </c>
      <c r="L45" s="18">
        <v>1.07702345506916E-3</v>
      </c>
      <c r="M45" s="18">
        <v>1234.3918340335999</v>
      </c>
      <c r="N45" s="18">
        <v>20.473480029465598</v>
      </c>
      <c r="O45" s="18">
        <v>8.1123242717407104E-2</v>
      </c>
      <c r="P45" s="18">
        <v>1.3217718853108899E-3</v>
      </c>
      <c r="Q45" s="19">
        <v>1211.0030694289001</v>
      </c>
      <c r="R45" s="19">
        <v>31.902821881106298</v>
      </c>
      <c r="S45" s="18">
        <v>4.7139072110408096</v>
      </c>
      <c r="T45" s="18">
        <v>2.86194507185191E-2</v>
      </c>
      <c r="U45" s="18">
        <v>1.5795785417121799</v>
      </c>
      <c r="V45" s="18">
        <v>1.4132140553431601E-2</v>
      </c>
      <c r="W45" s="18">
        <v>194.89956171786</v>
      </c>
      <c r="X45" s="18">
        <v>2.3293001491955798</v>
      </c>
      <c r="Y45" s="18">
        <v>120.29612264252501</v>
      </c>
      <c r="Z45" s="18">
        <v>1.39824344627268</v>
      </c>
      <c r="AA45" s="18">
        <v>64.638535053541702</v>
      </c>
      <c r="AB45" s="18">
        <v>1.1386374000808901</v>
      </c>
      <c r="AD45" s="18">
        <v>0.210564937967164</v>
      </c>
      <c r="AE45" s="18">
        <v>0.18593064466433801</v>
      </c>
      <c r="AG45" s="18">
        <f t="shared" si="0"/>
        <v>-2.35465524797287</v>
      </c>
    </row>
    <row r="46" spans="1:33" x14ac:dyDescent="0.2">
      <c r="A46" s="18" t="s">
        <v>133</v>
      </c>
      <c r="B46" s="18" t="s">
        <v>90</v>
      </c>
      <c r="C46" s="18">
        <v>0.240018933012804</v>
      </c>
      <c r="D46" s="18">
        <v>1.41686293475297E-3</v>
      </c>
      <c r="E46" s="19">
        <v>1386.6366715168399</v>
      </c>
      <c r="F46" s="19">
        <v>7.3647460870183297</v>
      </c>
      <c r="G46" s="18">
        <v>3.0058027972295198</v>
      </c>
      <c r="H46" s="18">
        <v>4.0191857924643998E-2</v>
      </c>
      <c r="I46" s="19">
        <v>1407.17240494097</v>
      </c>
      <c r="J46" s="19">
        <v>10.151430552600401</v>
      </c>
      <c r="K46" s="18">
        <v>6.0696758708250399E-2</v>
      </c>
      <c r="L46" s="18">
        <v>1.16263266609548E-3</v>
      </c>
      <c r="M46" s="18">
        <v>1190.5678579836599</v>
      </c>
      <c r="N46" s="18">
        <v>22.147239425373201</v>
      </c>
      <c r="O46" s="18">
        <v>9.04330748308559E-2</v>
      </c>
      <c r="P46" s="18">
        <v>1.27218632834838E-3</v>
      </c>
      <c r="Q46" s="19">
        <v>1424.79983324146</v>
      </c>
      <c r="R46" s="19">
        <v>27.006147291069801</v>
      </c>
      <c r="S46" s="18">
        <v>4.1530495682583402</v>
      </c>
      <c r="T46" s="18">
        <v>2.5352002406782901E-2</v>
      </c>
      <c r="U46" s="18">
        <v>2.0337641521390899</v>
      </c>
      <c r="V46" s="18">
        <v>1.8420625293443599E-2</v>
      </c>
      <c r="W46" s="18">
        <v>206.769220534423</v>
      </c>
      <c r="X46" s="18">
        <v>3.76299391051097</v>
      </c>
      <c r="Y46" s="18">
        <v>99.231199247301205</v>
      </c>
      <c r="Z46" s="18">
        <v>1.5602426494681201</v>
      </c>
      <c r="AA46" s="18">
        <v>51.6583352808981</v>
      </c>
      <c r="AB46" s="18">
        <v>1.0942578586339</v>
      </c>
      <c r="AD46" s="18">
        <v>0.33968245770994998</v>
      </c>
      <c r="AE46" s="18">
        <v>0.140892038290997</v>
      </c>
      <c r="AG46" s="18">
        <f t="shared" si="0"/>
        <v>2.6784928545224296</v>
      </c>
    </row>
    <row r="47" spans="1:33" x14ac:dyDescent="0.2">
      <c r="A47" s="18" t="s">
        <v>134</v>
      </c>
      <c r="B47" s="18" t="s">
        <v>90</v>
      </c>
      <c r="C47" s="18">
        <v>0.234570977505071</v>
      </c>
      <c r="D47" s="18">
        <v>2.3108623544334001E-3</v>
      </c>
      <c r="E47" s="19">
        <v>1357.98723313294</v>
      </c>
      <c r="F47" s="19">
        <v>12.0753295087727</v>
      </c>
      <c r="G47" s="18">
        <v>2.8434531490695698</v>
      </c>
      <c r="H47" s="18">
        <v>6.6448198191973604E-2</v>
      </c>
      <c r="I47" s="19">
        <v>1363.6005034964001</v>
      </c>
      <c r="J47" s="19">
        <v>17.2089662867612</v>
      </c>
      <c r="K47" s="18">
        <v>6.6722943596124698E-2</v>
      </c>
      <c r="L47" s="18">
        <v>2.5824581837465099E-3</v>
      </c>
      <c r="M47" s="18">
        <v>1303.3112824797499</v>
      </c>
      <c r="N47" s="18">
        <v>48.955606431363002</v>
      </c>
      <c r="O47" s="18">
        <v>8.7756152266961998E-2</v>
      </c>
      <c r="P47" s="18">
        <v>2.0143668914126699E-3</v>
      </c>
      <c r="Q47" s="19">
        <v>1350.7737696700401</v>
      </c>
      <c r="R47" s="19">
        <v>46.481969328924798</v>
      </c>
      <c r="S47" s="18">
        <v>4.2705944871189203</v>
      </c>
      <c r="T47" s="18">
        <v>4.2795554618948302E-2</v>
      </c>
      <c r="U47" s="18">
        <v>1.82451300851375</v>
      </c>
      <c r="V47" s="18">
        <v>4.2682527785348597E-2</v>
      </c>
      <c r="W47" s="18">
        <v>63.327592992599897</v>
      </c>
      <c r="X47" s="18">
        <v>0.98867612977469799</v>
      </c>
      <c r="Y47" s="18">
        <v>34.008435805048997</v>
      </c>
      <c r="Z47" s="18">
        <v>0.76656745143816296</v>
      </c>
      <c r="AA47" s="18">
        <v>19.511700236260399</v>
      </c>
      <c r="AB47" s="18">
        <v>0.69414666579001005</v>
      </c>
      <c r="AD47" s="18">
        <v>0.41039856517690099</v>
      </c>
      <c r="AE47" s="18">
        <v>0.12909561543800299</v>
      </c>
      <c r="AG47" s="18">
        <f t="shared" si="0"/>
        <v>-0.53402454392210696</v>
      </c>
    </row>
    <row r="48" spans="1:33" x14ac:dyDescent="0.2">
      <c r="A48" s="18" t="s">
        <v>135</v>
      </c>
      <c r="B48" s="18" t="s">
        <v>90</v>
      </c>
      <c r="C48" s="18">
        <v>0.23920554502059599</v>
      </c>
      <c r="D48" s="18">
        <v>1.4896630693760401E-3</v>
      </c>
      <c r="E48" s="19">
        <v>1382.3896143940999</v>
      </c>
      <c r="F48" s="19">
        <v>7.7541645631910798</v>
      </c>
      <c r="G48" s="18">
        <v>2.8899132738520499</v>
      </c>
      <c r="H48" s="18">
        <v>3.9708396821958501E-2</v>
      </c>
      <c r="I48" s="19">
        <v>1377.2994957118401</v>
      </c>
      <c r="J48" s="19">
        <v>10.315768174086701</v>
      </c>
      <c r="K48" s="18">
        <v>7.0108982573969802E-2</v>
      </c>
      <c r="L48" s="18">
        <v>1.12383316412452E-3</v>
      </c>
      <c r="M48" s="18">
        <v>1369.17005715799</v>
      </c>
      <c r="N48" s="18">
        <v>21.219246961838099</v>
      </c>
      <c r="O48" s="18">
        <v>8.7225487477414501E-2</v>
      </c>
      <c r="P48" s="18">
        <v>1.1272246376853299E-3</v>
      </c>
      <c r="Q48" s="19">
        <v>1356.85953125982</v>
      </c>
      <c r="R48" s="19">
        <v>25.0841725847629</v>
      </c>
      <c r="S48" s="18">
        <v>4.1748670877862697</v>
      </c>
      <c r="T48" s="18">
        <v>2.53616179654702E-2</v>
      </c>
      <c r="U48" s="18">
        <v>2.4977256870632298</v>
      </c>
      <c r="V48" s="18">
        <v>2.13359286607946E-2</v>
      </c>
      <c r="W48" s="18">
        <v>377.88581525182201</v>
      </c>
      <c r="X48" s="18">
        <v>8.6914199503916496</v>
      </c>
      <c r="Y48" s="18">
        <v>147.97338235513899</v>
      </c>
      <c r="Z48" s="18">
        <v>3.45150369353486</v>
      </c>
      <c r="AA48" s="18">
        <v>88.975681154639702</v>
      </c>
      <c r="AB48" s="18">
        <v>1.83467368360351</v>
      </c>
      <c r="AD48" s="18">
        <v>0.14623173086097699</v>
      </c>
      <c r="AE48" s="18">
        <v>0.359582546785844</v>
      </c>
      <c r="AG48" s="18">
        <f t="shared" si="0"/>
        <v>-1.8815568263411686</v>
      </c>
    </row>
    <row r="49" spans="1:33" x14ac:dyDescent="0.2">
      <c r="A49" s="18" t="s">
        <v>136</v>
      </c>
      <c r="B49" s="18" t="s">
        <v>90</v>
      </c>
      <c r="C49" s="18">
        <v>0.23064286759035499</v>
      </c>
      <c r="D49" s="18">
        <v>1.38356409848207E-3</v>
      </c>
      <c r="E49" s="19">
        <v>1337.71333061054</v>
      </c>
      <c r="F49" s="19">
        <v>7.2600134155657203</v>
      </c>
      <c r="G49" s="18">
        <v>2.7197716323740999</v>
      </c>
      <c r="H49" s="18">
        <v>3.0099054187314601E-2</v>
      </c>
      <c r="I49" s="19">
        <v>1332.62449604058</v>
      </c>
      <c r="J49" s="19">
        <v>8.1739176481777793</v>
      </c>
      <c r="K49" s="18">
        <v>5.6493347545247603E-2</v>
      </c>
      <c r="L49" s="18">
        <v>1.5370364227349799E-3</v>
      </c>
      <c r="M49" s="18">
        <v>1109.9588995261299</v>
      </c>
      <c r="N49" s="18">
        <v>29.457948107537199</v>
      </c>
      <c r="O49" s="18">
        <v>8.5464806279582195E-2</v>
      </c>
      <c r="P49" s="18">
        <v>9.823381437352259E-4</v>
      </c>
      <c r="Q49" s="19">
        <v>1319.1073509195501</v>
      </c>
      <c r="R49" s="19">
        <v>22.244642776176601</v>
      </c>
      <c r="S49" s="18">
        <v>4.3294608781083896</v>
      </c>
      <c r="T49" s="18">
        <v>2.7518744879721699E-2</v>
      </c>
      <c r="U49" s="18">
        <v>1.3045279277399799</v>
      </c>
      <c r="V49" s="18">
        <v>2.51724252370359E-2</v>
      </c>
      <c r="W49" s="18">
        <v>281.50872818617898</v>
      </c>
      <c r="X49" s="18">
        <v>3.8492745619037301</v>
      </c>
      <c r="Y49" s="18">
        <v>211.690097836928</v>
      </c>
      <c r="Z49" s="18">
        <v>3.4471396704995101</v>
      </c>
      <c r="AA49" s="18">
        <v>103.67518851825</v>
      </c>
      <c r="AB49" s="18">
        <v>2.4666417718185598</v>
      </c>
      <c r="AD49" s="18">
        <v>0.37003690254887101</v>
      </c>
      <c r="AE49" s="18">
        <v>0.243000864027066</v>
      </c>
      <c r="AG49" s="18">
        <f t="shared" si="0"/>
        <v>-1.4104977641144822</v>
      </c>
    </row>
    <row r="50" spans="1:33" x14ac:dyDescent="0.2">
      <c r="A50" s="18" t="s">
        <v>137</v>
      </c>
      <c r="B50" s="18" t="s">
        <v>90</v>
      </c>
      <c r="C50" s="18">
        <v>0.25268353589744502</v>
      </c>
      <c r="D50" s="18">
        <v>2.2816406145423599E-3</v>
      </c>
      <c r="E50" s="19">
        <v>1453.4033744240401</v>
      </c>
      <c r="F50" s="19">
        <v>11.4164980526416</v>
      </c>
      <c r="G50" s="18">
        <v>3.1590022252960201</v>
      </c>
      <c r="H50" s="18">
        <v>5.0077957072467698E-2</v>
      </c>
      <c r="I50" s="19">
        <v>1446.0424696386201</v>
      </c>
      <c r="J50" s="19">
        <v>12.439875322842401</v>
      </c>
      <c r="K50" s="18">
        <v>6.9815203519895702E-2</v>
      </c>
      <c r="L50" s="18">
        <v>1.6001912181871801E-3</v>
      </c>
      <c r="M50" s="18">
        <v>1363.18643431383</v>
      </c>
      <c r="N50" s="18">
        <v>30.258950061779899</v>
      </c>
      <c r="O50" s="18">
        <v>9.0589069788760995E-2</v>
      </c>
      <c r="P50" s="18">
        <v>1.30005916736902E-3</v>
      </c>
      <c r="Q50" s="19">
        <v>1431.2481681279901</v>
      </c>
      <c r="R50" s="19">
        <v>27.772256762002201</v>
      </c>
      <c r="S50" s="18">
        <v>3.93736998592632</v>
      </c>
      <c r="T50" s="18">
        <v>3.2608859020400997E-2</v>
      </c>
      <c r="U50" s="18">
        <v>2.2789985216850499</v>
      </c>
      <c r="V50" s="18">
        <v>4.3778448411385402E-2</v>
      </c>
      <c r="W50" s="18">
        <v>237.86326052362</v>
      </c>
      <c r="X50" s="18">
        <v>18.285099932914601</v>
      </c>
      <c r="Y50" s="18">
        <v>100.259267790374</v>
      </c>
      <c r="Z50" s="18">
        <v>7.2769327407970898</v>
      </c>
      <c r="AA50" s="18">
        <v>60.390800335936603</v>
      </c>
      <c r="AB50" s="18">
        <v>3.9329607561577999</v>
      </c>
      <c r="AD50" s="18">
        <v>8.5755246288525003E-2</v>
      </c>
      <c r="AE50" s="18">
        <v>0.47599524745564697</v>
      </c>
      <c r="AG50" s="18">
        <f t="shared" si="0"/>
        <v>-1.5479639932065803</v>
      </c>
    </row>
    <row r="51" spans="1:33" x14ac:dyDescent="0.2">
      <c r="A51" s="18" t="s">
        <v>138</v>
      </c>
      <c r="B51" s="18" t="s">
        <v>90</v>
      </c>
      <c r="C51" s="18">
        <v>0.171836570045454</v>
      </c>
      <c r="D51" s="18">
        <v>2.1355380386196398E-3</v>
      </c>
      <c r="E51" s="19">
        <v>1021.82124801456</v>
      </c>
      <c r="F51" s="19">
        <v>11.740931452635699</v>
      </c>
      <c r="G51" s="18">
        <v>1.7864543377248601</v>
      </c>
      <c r="H51" s="18">
        <v>4.4078795574852898E-2</v>
      </c>
      <c r="I51" s="19">
        <v>1035.8600624293999</v>
      </c>
      <c r="J51" s="19">
        <v>15.848092476565901</v>
      </c>
      <c r="K51" s="18">
        <v>-0.15720750006414799</v>
      </c>
      <c r="L51" s="18">
        <v>0.36608799776440698</v>
      </c>
      <c r="M51" s="18">
        <v>5008.1490276243203</v>
      </c>
      <c r="N51" s="18">
        <v>1501.24463841806</v>
      </c>
      <c r="O51" s="18">
        <v>7.4979157998546694E-2</v>
      </c>
      <c r="P51" s="18">
        <v>1.6744288399225199E-3</v>
      </c>
      <c r="Q51" s="19">
        <v>1048.0891958285999</v>
      </c>
      <c r="R51" s="19">
        <v>44.361548633911497</v>
      </c>
      <c r="S51" s="18">
        <v>5.8327969564314897</v>
      </c>
      <c r="T51" s="18">
        <v>7.4619985692875201E-2</v>
      </c>
      <c r="U51" s="18">
        <v>-2665.7492091499298</v>
      </c>
      <c r="V51" s="18">
        <v>1147.64844658177</v>
      </c>
      <c r="W51" s="18">
        <v>116.82391440949201</v>
      </c>
      <c r="X51" s="18">
        <v>4.4938595424169696</v>
      </c>
      <c r="Y51" s="18">
        <v>0.85448100700196905</v>
      </c>
      <c r="Z51" s="18">
        <v>0.149510554697982</v>
      </c>
      <c r="AA51" s="18">
        <v>0.96939021073504195</v>
      </c>
      <c r="AB51" s="18">
        <v>0.17920736539437301</v>
      </c>
      <c r="AD51" s="18">
        <v>0.15836772794591999</v>
      </c>
      <c r="AE51" s="18">
        <v>0.40590114437124702</v>
      </c>
      <c r="AG51" s="18">
        <f t="shared" si="0"/>
        <v>2.5062702600681885</v>
      </c>
    </row>
    <row r="52" spans="1:33" x14ac:dyDescent="0.2">
      <c r="A52" s="18" t="s">
        <v>139</v>
      </c>
      <c r="B52" s="18" t="s">
        <v>90</v>
      </c>
      <c r="C52" s="18">
        <v>0.25031037291263503</v>
      </c>
      <c r="D52" s="18">
        <v>2.01791772076462E-3</v>
      </c>
      <c r="E52" s="19">
        <v>1439.7579081429401</v>
      </c>
      <c r="F52" s="19">
        <v>10.4382966990916</v>
      </c>
      <c r="G52" s="18">
        <v>3.1401681188131598</v>
      </c>
      <c r="H52" s="18">
        <v>4.8721095179769101E-2</v>
      </c>
      <c r="I52" s="19">
        <v>1439.9554115393</v>
      </c>
      <c r="J52" s="19">
        <v>11.8959551909025</v>
      </c>
      <c r="K52" s="18">
        <v>6.4621926903798796E-2</v>
      </c>
      <c r="L52" s="18">
        <v>2.1598480002108602E-3</v>
      </c>
      <c r="M52" s="18">
        <v>1264.1170112069899</v>
      </c>
      <c r="N52" s="18">
        <v>40.951725276048897</v>
      </c>
      <c r="O52" s="18">
        <v>9.0426022461292097E-2</v>
      </c>
      <c r="P52" s="18">
        <v>1.29949311651765E-3</v>
      </c>
      <c r="Q52" s="19">
        <v>1427.4812156017299</v>
      </c>
      <c r="R52" s="19">
        <v>28.5505311882578</v>
      </c>
      <c r="S52" s="18">
        <v>3.9825500095878699</v>
      </c>
      <c r="T52" s="18">
        <v>3.1822622579732597E-2</v>
      </c>
      <c r="U52" s="18">
        <v>2.19274433751582</v>
      </c>
      <c r="V52" s="18">
        <v>7.7360148466641299E-2</v>
      </c>
      <c r="W52" s="18">
        <v>134.642062096854</v>
      </c>
      <c r="X52" s="18">
        <v>1.9783114643066699</v>
      </c>
      <c r="Y52" s="18">
        <v>63.6753451936247</v>
      </c>
      <c r="Z52" s="18">
        <v>1.88669990243938</v>
      </c>
      <c r="AA52" s="18">
        <v>38.542328880516003</v>
      </c>
      <c r="AB52" s="18">
        <v>0.94941375889488699</v>
      </c>
      <c r="AD52" s="18">
        <v>0.22518605262830299</v>
      </c>
      <c r="AE52" s="18">
        <v>0.31128506892589097</v>
      </c>
      <c r="AG52" s="18">
        <f t="shared" si="0"/>
        <v>-0.86002480502240797</v>
      </c>
    </row>
    <row r="53" spans="1:33" x14ac:dyDescent="0.2">
      <c r="A53" s="18" t="s">
        <v>140</v>
      </c>
      <c r="B53" s="18" t="s">
        <v>90</v>
      </c>
      <c r="C53" s="18">
        <v>0.32621538941404199</v>
      </c>
      <c r="D53" s="18">
        <v>1.9501183888535399E-3</v>
      </c>
      <c r="E53" s="19">
        <v>1819.7483718134499</v>
      </c>
      <c r="F53" s="19">
        <v>9.4861758606243196</v>
      </c>
      <c r="G53" s="18">
        <v>5.05667118915248</v>
      </c>
      <c r="H53" s="18">
        <v>5.1018791587989602E-2</v>
      </c>
      <c r="I53" s="19">
        <v>1827.5108169569801</v>
      </c>
      <c r="J53" s="19">
        <v>8.5411595056213692</v>
      </c>
      <c r="K53" s="18">
        <v>5.3873537354393701E-2</v>
      </c>
      <c r="L53" s="18">
        <v>3.37339477494573E-3</v>
      </c>
      <c r="M53" s="18">
        <v>1056.6486937602399</v>
      </c>
      <c r="N53" s="18">
        <v>65.042110638810698</v>
      </c>
      <c r="O53" s="18">
        <v>0.111853837016386</v>
      </c>
      <c r="P53" s="18">
        <v>1.1232717033387201E-3</v>
      </c>
      <c r="Q53" s="19">
        <v>1824.7232015366301</v>
      </c>
      <c r="R53" s="19">
        <v>18.2245670795247</v>
      </c>
      <c r="S53" s="18">
        <v>3.0626506939762201</v>
      </c>
      <c r="T53" s="18">
        <v>1.8497885393740199E-2</v>
      </c>
      <c r="U53" s="18">
        <v>1.5546531414812701</v>
      </c>
      <c r="V53" s="18">
        <v>9.9520416746870205E-2</v>
      </c>
      <c r="W53" s="18">
        <v>302.20762857201697</v>
      </c>
      <c r="X53" s="18">
        <v>4.1542251991982599</v>
      </c>
      <c r="Y53" s="18">
        <v>225.200316788462</v>
      </c>
      <c r="Z53" s="18">
        <v>16.800990359787399</v>
      </c>
      <c r="AA53" s="18">
        <v>102.087780649997</v>
      </c>
      <c r="AB53" s="18">
        <v>1.8317338558326299</v>
      </c>
      <c r="AD53" s="18">
        <v>0.30265188104191698</v>
      </c>
      <c r="AE53" s="18">
        <v>0.31723564763463502</v>
      </c>
      <c r="AG53" s="18">
        <f t="shared" si="0"/>
        <v>0.27263476010995769</v>
      </c>
    </row>
    <row r="54" spans="1:33" x14ac:dyDescent="0.2">
      <c r="A54" s="18" t="s">
        <v>141</v>
      </c>
      <c r="B54" s="18" t="s">
        <v>90</v>
      </c>
      <c r="C54" s="18">
        <v>0.238521619939325</v>
      </c>
      <c r="D54" s="18">
        <v>2.84218914687713E-3</v>
      </c>
      <c r="E54" s="19">
        <v>1378.3687788929601</v>
      </c>
      <c r="F54" s="19">
        <v>14.747411118784299</v>
      </c>
      <c r="G54" s="18">
        <v>3.1437156232383998</v>
      </c>
      <c r="H54" s="18">
        <v>0.16678058123797099</v>
      </c>
      <c r="I54" s="19">
        <v>1421.4223650195099</v>
      </c>
      <c r="J54" s="19">
        <v>31.911297162529699</v>
      </c>
      <c r="K54" s="18">
        <v>7.2902913051909796E-2</v>
      </c>
      <c r="L54" s="18">
        <v>2.4855175589438899E-3</v>
      </c>
      <c r="M54" s="18">
        <v>1420.2669802640901</v>
      </c>
      <c r="N54" s="18">
        <v>46.471457505735501</v>
      </c>
      <c r="O54" s="18">
        <v>9.6180333147784694E-2</v>
      </c>
      <c r="P54" s="18">
        <v>4.7050148953166997E-3</v>
      </c>
      <c r="Q54" s="19">
        <v>1508.7066941688399</v>
      </c>
      <c r="R54" s="19">
        <v>79.203537536753302</v>
      </c>
      <c r="S54" s="18">
        <v>4.1979945150164601</v>
      </c>
      <c r="T54" s="18">
        <v>5.1264399323625101E-2</v>
      </c>
      <c r="U54" s="18">
        <v>1.1956069441583199</v>
      </c>
      <c r="V54" s="18">
        <v>3.5871907375143203E-2</v>
      </c>
      <c r="W54" s="18">
        <v>53.6080197824569</v>
      </c>
      <c r="X54" s="18">
        <v>0.55312680825903404</v>
      </c>
      <c r="Y54" s="18">
        <v>46.059319996084596</v>
      </c>
      <c r="Z54" s="18">
        <v>1.46632550215399</v>
      </c>
      <c r="AA54" s="18">
        <v>31.638056024023701</v>
      </c>
      <c r="AB54" s="18">
        <v>1.93903202504129</v>
      </c>
      <c r="AD54" s="18">
        <v>-0.484606635453458</v>
      </c>
      <c r="AE54" s="18">
        <v>0.70123565333856797</v>
      </c>
      <c r="AG54" s="18">
        <f t="shared" si="0"/>
        <v>8.6390493115485292</v>
      </c>
    </row>
    <row r="55" spans="1:33" x14ac:dyDescent="0.2">
      <c r="A55" s="18" t="s">
        <v>142</v>
      </c>
      <c r="B55" s="18" t="s">
        <v>90</v>
      </c>
      <c r="C55" s="18">
        <v>0.25418857145325302</v>
      </c>
      <c r="D55" s="18">
        <v>2.13427915107123E-3</v>
      </c>
      <c r="E55" s="19">
        <v>1461.10927200628</v>
      </c>
      <c r="F55" s="19">
        <v>10.6385695698324</v>
      </c>
      <c r="G55" s="18">
        <v>3.1865429819848399</v>
      </c>
      <c r="H55" s="18">
        <v>5.1873296810026698E-2</v>
      </c>
      <c r="I55" s="19">
        <v>1450.96619471656</v>
      </c>
      <c r="J55" s="19">
        <v>12.5666138070761</v>
      </c>
      <c r="K55" s="18">
        <v>7.4784305431733394E-2</v>
      </c>
      <c r="L55" s="18">
        <v>1.3879516189359499E-3</v>
      </c>
      <c r="M55" s="18">
        <v>1457.0702274543901</v>
      </c>
      <c r="N55" s="18">
        <v>26.0824353901363</v>
      </c>
      <c r="O55" s="18">
        <v>9.0494668832225802E-2</v>
      </c>
      <c r="P55" s="18">
        <v>1.4233694022977601E-3</v>
      </c>
      <c r="Q55" s="19">
        <v>1423.8059972119199</v>
      </c>
      <c r="R55" s="19">
        <v>30.288162111448202</v>
      </c>
      <c r="S55" s="18">
        <v>3.9307632577471199</v>
      </c>
      <c r="T55" s="18">
        <v>3.2111891629902502E-2</v>
      </c>
      <c r="U55" s="18">
        <v>1.9663863687493599</v>
      </c>
      <c r="V55" s="18">
        <v>2.4955943790637699E-2</v>
      </c>
      <c r="W55" s="18">
        <v>164.74575053615899</v>
      </c>
      <c r="X55" s="18">
        <v>4.2909182423840599</v>
      </c>
      <c r="Y55" s="18">
        <v>84.822011840345397</v>
      </c>
      <c r="Z55" s="18">
        <v>2.5666931575292198</v>
      </c>
      <c r="AA55" s="18">
        <v>59.462871748257101</v>
      </c>
      <c r="AB55" s="18">
        <v>1.7121294736841799</v>
      </c>
      <c r="AD55" s="18">
        <v>0.21388990152680501</v>
      </c>
      <c r="AE55" s="18">
        <v>0.32411482978696199</v>
      </c>
      <c r="AG55" s="18">
        <f t="shared" si="0"/>
        <v>-2.6199689330854703</v>
      </c>
    </row>
    <row r="56" spans="1:33" x14ac:dyDescent="0.2">
      <c r="A56" s="18" t="s">
        <v>143</v>
      </c>
      <c r="B56" s="18" t="s">
        <v>90</v>
      </c>
      <c r="C56" s="18">
        <v>0.206008200938533</v>
      </c>
      <c r="D56" s="18">
        <v>2.4007181654134798E-3</v>
      </c>
      <c r="E56" s="19">
        <v>1207.03426792657</v>
      </c>
      <c r="F56" s="19">
        <v>12.8218975730744</v>
      </c>
      <c r="G56" s="18">
        <v>2.3103372971682101</v>
      </c>
      <c r="H56" s="18">
        <v>7.5805067040942295E-2</v>
      </c>
      <c r="I56" s="19">
        <v>1205.19257251302</v>
      </c>
      <c r="J56" s="19">
        <v>23.679284441325201</v>
      </c>
      <c r="K56" s="18">
        <v>6.2384057541043397E-2</v>
      </c>
      <c r="L56" s="18">
        <v>3.3668093805984799E-3</v>
      </c>
      <c r="M56" s="18">
        <v>1219.3391970289599</v>
      </c>
      <c r="N56" s="18">
        <v>63.836447239300199</v>
      </c>
      <c r="O56" s="18">
        <v>8.10562643713236E-2</v>
      </c>
      <c r="P56" s="18">
        <v>2.66932820798763E-3</v>
      </c>
      <c r="Q56" s="19">
        <v>1165.43099695917</v>
      </c>
      <c r="R56" s="19">
        <v>69.976163574231293</v>
      </c>
      <c r="S56" s="18">
        <v>4.8680361197494904</v>
      </c>
      <c r="T56" s="18">
        <v>5.6835669604287799E-2</v>
      </c>
      <c r="U56" s="18">
        <v>3.2431147371662501</v>
      </c>
      <c r="V56" s="18">
        <v>5.6287370446255203E-2</v>
      </c>
      <c r="W56" s="18">
        <v>32.728062196782801</v>
      </c>
      <c r="X56" s="18">
        <v>1.00429808240225</v>
      </c>
      <c r="Y56" s="18">
        <v>10.230227615942001</v>
      </c>
      <c r="Z56" s="18">
        <v>0.29704241891682598</v>
      </c>
      <c r="AA56" s="18">
        <v>5.8620666585416501</v>
      </c>
      <c r="AB56" s="18">
        <v>0.318134009121877</v>
      </c>
      <c r="AD56" s="18">
        <v>0.22143189029833801</v>
      </c>
      <c r="AE56" s="18">
        <v>0.16926483956952099</v>
      </c>
      <c r="AG56" s="18">
        <f t="shared" si="0"/>
        <v>-3.5697755659451991</v>
      </c>
    </row>
    <row r="57" spans="1:33" s="20" customFormat="1" x14ac:dyDescent="0.2">
      <c r="A57" s="20" t="s">
        <v>144</v>
      </c>
      <c r="B57" s="20" t="s">
        <v>90</v>
      </c>
      <c r="C57" s="20">
        <v>0.16995336588461299</v>
      </c>
      <c r="D57" s="20">
        <v>5.5321490326021901E-3</v>
      </c>
      <c r="E57" s="20">
        <v>1010.4472097870701</v>
      </c>
      <c r="F57" s="20">
        <v>30.510947225029302</v>
      </c>
      <c r="G57" s="20">
        <v>2.3208008286995101</v>
      </c>
      <c r="H57" s="20">
        <v>0.21790505629573001</v>
      </c>
      <c r="I57" s="20">
        <v>1183.9551435626599</v>
      </c>
      <c r="J57" s="20">
        <v>71.179015628049996</v>
      </c>
      <c r="K57" s="20">
        <v>0.13411643858896599</v>
      </c>
      <c r="L57" s="20">
        <v>3.4507873717687897E-2</v>
      </c>
      <c r="M57" s="20">
        <v>2375.4534069986098</v>
      </c>
      <c r="N57" s="20">
        <v>579.96668266288498</v>
      </c>
      <c r="O57" s="20">
        <v>0.101495676843982</v>
      </c>
      <c r="P57" s="20">
        <v>9.8815164964278293E-3</v>
      </c>
      <c r="Q57" s="20">
        <v>1479.18177798538</v>
      </c>
      <c r="R57" s="20">
        <v>188.66134480501799</v>
      </c>
      <c r="S57" s="20">
        <v>5.9991836144479898</v>
      </c>
      <c r="T57" s="20">
        <v>0.20553386420733</v>
      </c>
      <c r="U57" s="20">
        <v>11.530298055319101</v>
      </c>
      <c r="V57" s="20">
        <v>2.3304822595479302</v>
      </c>
      <c r="W57" s="20">
        <v>6.8744540874214604</v>
      </c>
      <c r="X57" s="20">
        <v>0.15278545210546901</v>
      </c>
      <c r="Y57" s="20">
        <v>0.88663825334587099</v>
      </c>
      <c r="Z57" s="20">
        <v>9.9278039960999404E-2</v>
      </c>
      <c r="AA57" s="20">
        <v>0.85080339044898701</v>
      </c>
      <c r="AB57" s="20">
        <v>0.15418645659597499</v>
      </c>
      <c r="AD57" s="20">
        <v>0.18584313810434799</v>
      </c>
      <c r="AE57" s="20">
        <v>0.16534047147889899</v>
      </c>
      <c r="AG57" s="20">
        <f t="shared" si="0"/>
        <v>31.688773832565619</v>
      </c>
    </row>
    <row r="59" spans="1:33" s="16" customFormat="1" x14ac:dyDescent="0.2">
      <c r="A59" s="16" t="s">
        <v>145</v>
      </c>
      <c r="E59" s="17"/>
      <c r="F59" s="17"/>
      <c r="I59" s="17"/>
      <c r="J59" s="17"/>
      <c r="Q59" s="17"/>
      <c r="R59" s="17"/>
      <c r="AG59" s="18"/>
    </row>
    <row r="60" spans="1:33" x14ac:dyDescent="0.2">
      <c r="A60" s="18" t="s">
        <v>146</v>
      </c>
      <c r="B60" s="18" t="s">
        <v>90</v>
      </c>
      <c r="C60" s="18">
        <v>0.224769363014654</v>
      </c>
      <c r="D60" s="18">
        <v>2.1086623693785801E-3</v>
      </c>
      <c r="E60" s="19">
        <v>1306.6718877851899</v>
      </c>
      <c r="F60" s="19">
        <v>11.023577341795299</v>
      </c>
      <c r="G60" s="18">
        <v>28.181792325044601</v>
      </c>
      <c r="H60" s="18">
        <v>0.26353471442904097</v>
      </c>
      <c r="I60" s="19">
        <v>3423.9239482634498</v>
      </c>
      <c r="J60" s="19">
        <v>9.0123585032429396</v>
      </c>
      <c r="K60" s="18">
        <v>0.48461470874064599</v>
      </c>
      <c r="L60" s="18">
        <v>4.7775692020836404E-3</v>
      </c>
      <c r="M60" s="18">
        <v>7983.1024030539402</v>
      </c>
      <c r="N60" s="18">
        <v>64.327647588634093</v>
      </c>
      <c r="O60" s="18">
        <v>0.90022981759505305</v>
      </c>
      <c r="P60" s="18">
        <v>5.3960231511969003E-3</v>
      </c>
      <c r="Q60" s="19">
        <v>4983.6989363910398</v>
      </c>
      <c r="R60" s="19">
        <v>8.1595308113659506</v>
      </c>
      <c r="S60" s="18">
        <v>4.4480067151910196</v>
      </c>
      <c r="T60" s="18">
        <v>4.0129138069966999E-2</v>
      </c>
      <c r="U60" s="18">
        <v>1.0288996908835899</v>
      </c>
      <c r="V60" s="18">
        <v>5.5309128245202999E-3</v>
      </c>
      <c r="W60" s="18">
        <v>596.284113859537</v>
      </c>
      <c r="X60" s="18">
        <v>10.629342404258001</v>
      </c>
      <c r="Y60" s="18">
        <v>581.18684099453299</v>
      </c>
      <c r="Z60" s="18">
        <v>10.175198305918199</v>
      </c>
      <c r="AA60" s="18">
        <v>2611.69550461585</v>
      </c>
      <c r="AB60" s="18">
        <v>47.179315405954299</v>
      </c>
      <c r="AD60" s="18">
        <v>0.15432395234865301</v>
      </c>
      <c r="AE60" s="18">
        <v>0.82765205225648797</v>
      </c>
      <c r="AG60" s="18">
        <f t="shared" si="0"/>
        <v>73.781082997533147</v>
      </c>
    </row>
    <row r="61" spans="1:33" x14ac:dyDescent="0.2">
      <c r="A61" s="18" t="s">
        <v>147</v>
      </c>
      <c r="B61" s="18" t="s">
        <v>90</v>
      </c>
      <c r="C61" s="18">
        <v>0.22435294399761299</v>
      </c>
      <c r="D61" s="18">
        <v>1.9654554175773599E-3</v>
      </c>
      <c r="E61" s="19">
        <v>1304.52350237766</v>
      </c>
      <c r="F61" s="19">
        <v>10.292762298586201</v>
      </c>
      <c r="G61" s="18">
        <v>27.866277344039801</v>
      </c>
      <c r="H61" s="18">
        <v>0.27226894454725997</v>
      </c>
      <c r="I61" s="19">
        <v>3414.03320086034</v>
      </c>
      <c r="J61" s="19">
        <v>9.6788461115092197</v>
      </c>
      <c r="K61" s="18">
        <v>0.48544094531154902</v>
      </c>
      <c r="L61" s="18">
        <v>4.66324845334159E-3</v>
      </c>
      <c r="M61" s="18">
        <v>7994.4794326835599</v>
      </c>
      <c r="N61" s="18">
        <v>63.141129562979003</v>
      </c>
      <c r="O61" s="18">
        <v>0.908633367402498</v>
      </c>
      <c r="P61" s="18">
        <v>6.3513978122445797E-3</v>
      </c>
      <c r="Q61" s="19">
        <v>4976.2587842102203</v>
      </c>
      <c r="R61" s="19">
        <v>15.3778739463168</v>
      </c>
      <c r="S61" s="18">
        <v>4.4555883838565897</v>
      </c>
      <c r="T61" s="18">
        <v>3.81344666283739E-2</v>
      </c>
      <c r="U61" s="18">
        <v>1.06445118271235</v>
      </c>
      <c r="V61" s="18">
        <v>7.3259480101900603E-3</v>
      </c>
      <c r="W61" s="18">
        <v>521.36666036339204</v>
      </c>
      <c r="X61" s="18">
        <v>8.8926359362122707</v>
      </c>
      <c r="Y61" s="18">
        <v>488.89318182713998</v>
      </c>
      <c r="Z61" s="18">
        <v>8.3862283299055402</v>
      </c>
      <c r="AA61" s="18">
        <v>2295.9076940753098</v>
      </c>
      <c r="AB61" s="18">
        <v>38.521725588027799</v>
      </c>
      <c r="AD61" s="18">
        <v>0.18154506038718099</v>
      </c>
      <c r="AE61" s="18">
        <v>0.76629823061643199</v>
      </c>
      <c r="AG61" s="18">
        <f t="shared" si="0"/>
        <v>73.785055019306029</v>
      </c>
    </row>
    <row r="62" spans="1:33" x14ac:dyDescent="0.2">
      <c r="A62" s="18" t="s">
        <v>148</v>
      </c>
      <c r="B62" s="18" t="s">
        <v>90</v>
      </c>
      <c r="C62" s="18">
        <v>0.22506772614852399</v>
      </c>
      <c r="D62" s="18">
        <v>1.8755099558914099E-3</v>
      </c>
      <c r="E62" s="19">
        <v>1308.3138956494499</v>
      </c>
      <c r="F62" s="19">
        <v>9.8194198380222097</v>
      </c>
      <c r="G62" s="18">
        <v>27.976002557594601</v>
      </c>
      <c r="H62" s="18">
        <v>0.25251386359891498</v>
      </c>
      <c r="I62" s="19">
        <v>3416.8390257495498</v>
      </c>
      <c r="J62" s="19">
        <v>8.6692696231347206</v>
      </c>
      <c r="K62" s="18">
        <v>0.48730079053416497</v>
      </c>
      <c r="L62" s="18">
        <v>4.1896473659984402E-3</v>
      </c>
      <c r="M62" s="18">
        <v>8020.5015049058102</v>
      </c>
      <c r="N62" s="18">
        <v>56.608798957835901</v>
      </c>
      <c r="O62" s="18">
        <v>0.90943066927690597</v>
      </c>
      <c r="P62" s="18">
        <v>6.1492291458495199E-3</v>
      </c>
      <c r="Q62" s="19">
        <v>4966.5389899751399</v>
      </c>
      <c r="R62" s="19">
        <v>18.940903882336698</v>
      </c>
      <c r="S62" s="18">
        <v>4.4334551492684797</v>
      </c>
      <c r="T62" s="18">
        <v>3.7372147265144297E-2</v>
      </c>
      <c r="U62" s="18">
        <v>1.04247459879188</v>
      </c>
      <c r="V62" s="18">
        <v>5.9900425467997401E-3</v>
      </c>
      <c r="W62" s="18">
        <v>534.10706772081301</v>
      </c>
      <c r="X62" s="18">
        <v>8.2334097326148097</v>
      </c>
      <c r="Y62" s="18">
        <v>511.51151260756302</v>
      </c>
      <c r="Z62" s="18">
        <v>8.2418860648486394</v>
      </c>
      <c r="AA62" s="18">
        <v>2310.8828674453898</v>
      </c>
      <c r="AB62" s="18">
        <v>35.436435318898297</v>
      </c>
      <c r="AD62" s="18">
        <v>0.21156263825632299</v>
      </c>
      <c r="AE62" s="18">
        <v>0.73747983524295602</v>
      </c>
      <c r="AG62" s="18">
        <f t="shared" si="0"/>
        <v>73.65743230265069</v>
      </c>
    </row>
    <row r="63" spans="1:33" x14ac:dyDescent="0.2">
      <c r="A63" s="18" t="s">
        <v>149</v>
      </c>
      <c r="B63" s="18" t="s">
        <v>90</v>
      </c>
      <c r="C63" s="18">
        <v>0.22766061361076501</v>
      </c>
      <c r="D63" s="18">
        <v>2.2582892968649698E-3</v>
      </c>
      <c r="E63" s="19">
        <v>1321.8219546252999</v>
      </c>
      <c r="F63" s="19">
        <v>11.7666863902842</v>
      </c>
      <c r="G63" s="18">
        <v>28.4799131895162</v>
      </c>
      <c r="H63" s="18">
        <v>0.282938758624662</v>
      </c>
      <c r="I63" s="19">
        <v>3434.0581824043002</v>
      </c>
      <c r="J63" s="19">
        <v>9.5366470600394209</v>
      </c>
      <c r="K63" s="18">
        <v>0.48960412209585902</v>
      </c>
      <c r="L63" s="18">
        <v>4.4241465316321796E-3</v>
      </c>
      <c r="M63" s="18">
        <v>8051.4702602963398</v>
      </c>
      <c r="N63" s="18">
        <v>59.630117715005497</v>
      </c>
      <c r="O63" s="18">
        <v>0.91453904531987196</v>
      </c>
      <c r="P63" s="18">
        <v>6.7721435486732201E-3</v>
      </c>
      <c r="Q63" s="19">
        <v>4975.9051886711104</v>
      </c>
      <c r="R63" s="19">
        <v>8.0854198064754605</v>
      </c>
      <c r="S63" s="18">
        <v>4.3936110787779104</v>
      </c>
      <c r="T63" s="18">
        <v>4.1621703989185098E-2</v>
      </c>
      <c r="U63" s="18">
        <v>1.0116819005469999</v>
      </c>
      <c r="V63" s="18">
        <v>6.0581042793158499E-3</v>
      </c>
      <c r="W63" s="18">
        <v>424.03698276115301</v>
      </c>
      <c r="X63" s="18">
        <v>6.2012259312216003</v>
      </c>
      <c r="Y63" s="18">
        <v>417.303678100605</v>
      </c>
      <c r="Z63" s="18">
        <v>6.3975248639834401</v>
      </c>
      <c r="AA63" s="18">
        <v>1934.30081200783</v>
      </c>
      <c r="AB63" s="18">
        <v>29.400747739100101</v>
      </c>
      <c r="AD63" s="18">
        <v>0.216677871742366</v>
      </c>
      <c r="AE63" s="18">
        <v>0.766932671874473</v>
      </c>
      <c r="AG63" s="18">
        <f t="shared" si="0"/>
        <v>73.435547814802476</v>
      </c>
    </row>
    <row r="64" spans="1:33" x14ac:dyDescent="0.2">
      <c r="A64" s="18" t="s">
        <v>150</v>
      </c>
      <c r="B64" s="18" t="s">
        <v>90</v>
      </c>
      <c r="C64" s="18">
        <v>0.22880192675502101</v>
      </c>
      <c r="D64" s="18">
        <v>2.1813326236876998E-3</v>
      </c>
      <c r="E64" s="19">
        <v>1327.8370877875</v>
      </c>
      <c r="F64" s="19">
        <v>11.3639859651749</v>
      </c>
      <c r="G64" s="18">
        <v>28.497404078666001</v>
      </c>
      <c r="H64" s="18">
        <v>0.30319828415921701</v>
      </c>
      <c r="I64" s="19">
        <v>3435.8461923820801</v>
      </c>
      <c r="J64" s="19">
        <v>10.581607447816401</v>
      </c>
      <c r="K64" s="18">
        <v>0.48963987242878199</v>
      </c>
      <c r="L64" s="18">
        <v>4.5720960086582402E-3</v>
      </c>
      <c r="M64" s="18">
        <v>8051.70042655623</v>
      </c>
      <c r="N64" s="18">
        <v>61.702434320713898</v>
      </c>
      <c r="O64" s="18">
        <v>0.911454696865448</v>
      </c>
      <c r="P64" s="18">
        <v>7.5507960643910596E-3</v>
      </c>
      <c r="Q64" s="19">
        <v>4980.6098125912404</v>
      </c>
      <c r="R64" s="19">
        <v>12.9835112255554</v>
      </c>
      <c r="S64" s="18">
        <v>4.3720292861268097</v>
      </c>
      <c r="T64" s="18">
        <v>4.0168471082541797E-2</v>
      </c>
      <c r="U64" s="18">
        <v>0.95929038034108705</v>
      </c>
      <c r="V64" s="18">
        <v>6.9155642813228902E-3</v>
      </c>
      <c r="W64" s="18">
        <v>485.94991443961698</v>
      </c>
      <c r="X64" s="18">
        <v>6.2840138106010199</v>
      </c>
      <c r="Y64" s="18">
        <v>502.74747883768799</v>
      </c>
      <c r="Z64" s="18">
        <v>7.2262953877677703</v>
      </c>
      <c r="AA64" s="18">
        <v>2258.8211778432601</v>
      </c>
      <c r="AB64" s="18">
        <v>30.898730045422301</v>
      </c>
      <c r="AD64" s="18">
        <v>0.158651514232476</v>
      </c>
      <c r="AE64" s="18">
        <v>0.73817582233479995</v>
      </c>
      <c r="AG64" s="18">
        <f t="shared" si="0"/>
        <v>73.339869257963983</v>
      </c>
    </row>
    <row r="65" spans="1:33" x14ac:dyDescent="0.2">
      <c r="A65" s="18" t="s">
        <v>151</v>
      </c>
      <c r="B65" s="18" t="s">
        <v>90</v>
      </c>
      <c r="C65" s="18">
        <v>0.22657968359665201</v>
      </c>
      <c r="D65" s="18">
        <v>1.9596422537537898E-3</v>
      </c>
      <c r="E65" s="19">
        <v>1316.23983956754</v>
      </c>
      <c r="F65" s="19">
        <v>10.2472924196089</v>
      </c>
      <c r="G65" s="18">
        <v>28.548734359163699</v>
      </c>
      <c r="H65" s="18">
        <v>0.32030266437066401</v>
      </c>
      <c r="I65" s="19">
        <v>3435.9776225047799</v>
      </c>
      <c r="J65" s="19">
        <v>10.6408700550791</v>
      </c>
      <c r="K65" s="18">
        <v>0.48893143928982002</v>
      </c>
      <c r="L65" s="18">
        <v>5.38990950233056E-3</v>
      </c>
      <c r="M65" s="18">
        <v>8040.7300194427398</v>
      </c>
      <c r="N65" s="18">
        <v>72.345462166738102</v>
      </c>
      <c r="O65" s="18">
        <v>0.91174135061694495</v>
      </c>
      <c r="P65" s="18">
        <v>7.6233488226403398E-3</v>
      </c>
      <c r="Q65" s="19">
        <v>4963.7663007859501</v>
      </c>
      <c r="R65" s="19">
        <v>19.957821478789</v>
      </c>
      <c r="S65" s="18">
        <v>4.4069251062883197</v>
      </c>
      <c r="T65" s="18">
        <v>3.9062632814267403E-2</v>
      </c>
      <c r="U65" s="18">
        <v>0.95299270566581495</v>
      </c>
      <c r="V65" s="18">
        <v>6.9914973337317204E-3</v>
      </c>
      <c r="W65" s="18">
        <v>467.115303496867</v>
      </c>
      <c r="X65" s="18">
        <v>6.2883791110050504</v>
      </c>
      <c r="Y65" s="18">
        <v>491.42720348499</v>
      </c>
      <c r="Z65" s="18">
        <v>6.8253840259610099</v>
      </c>
      <c r="AA65" s="18">
        <v>2309.0018948943798</v>
      </c>
      <c r="AB65" s="18">
        <v>34.326250759752497</v>
      </c>
      <c r="AD65" s="18">
        <v>0.104247911957533</v>
      </c>
      <c r="AE65" s="18">
        <v>0.70797092802981998</v>
      </c>
      <c r="AG65" s="18">
        <f t="shared" si="0"/>
        <v>73.483041710502576</v>
      </c>
    </row>
    <row r="66" spans="1:33" x14ac:dyDescent="0.2">
      <c r="A66" s="18" t="s">
        <v>152</v>
      </c>
      <c r="B66" s="18" t="s">
        <v>90</v>
      </c>
      <c r="C66" s="18">
        <v>0.22728609527422</v>
      </c>
      <c r="D66" s="18">
        <v>2.04351006258646E-3</v>
      </c>
      <c r="E66" s="19">
        <v>1319.9250291615101</v>
      </c>
      <c r="F66" s="19">
        <v>10.6744463840498</v>
      </c>
      <c r="G66" s="18">
        <v>28.6823274867821</v>
      </c>
      <c r="H66" s="18">
        <v>0.34196779908967101</v>
      </c>
      <c r="I66" s="19">
        <v>3440.2322899124702</v>
      </c>
      <c r="J66" s="19">
        <v>11.471527620876801</v>
      </c>
      <c r="K66" s="18">
        <v>0.48914928966801502</v>
      </c>
      <c r="L66" s="18">
        <v>4.7059893041648902E-3</v>
      </c>
      <c r="M66" s="18">
        <v>8053.6971646043703</v>
      </c>
      <c r="N66" s="18">
        <v>65.587720014709006</v>
      </c>
      <c r="O66" s="18">
        <v>0.90868362019936799</v>
      </c>
      <c r="P66" s="18">
        <v>7.9839418939461806E-3</v>
      </c>
      <c r="Q66" s="19">
        <v>4975.7172111260597</v>
      </c>
      <c r="R66" s="19">
        <v>7.80469984541645</v>
      </c>
      <c r="S66" s="18">
        <v>4.4031991204298997</v>
      </c>
      <c r="T66" s="18">
        <v>3.7595143118762699E-2</v>
      </c>
      <c r="U66" s="18">
        <v>0.95452436352663805</v>
      </c>
      <c r="V66" s="18">
        <v>7.0391618400031299E-3</v>
      </c>
      <c r="W66" s="18">
        <v>496.85207576827003</v>
      </c>
      <c r="X66" s="18">
        <v>8.2234758018200296</v>
      </c>
      <c r="Y66" s="18">
        <v>515.55961187925004</v>
      </c>
      <c r="Z66" s="18">
        <v>8.7737911677101206</v>
      </c>
      <c r="AA66" s="18">
        <v>2309.2960565562098</v>
      </c>
      <c r="AB66" s="18">
        <v>37.315638694888698</v>
      </c>
      <c r="AD66" s="18">
        <v>0.21809774001648399</v>
      </c>
      <c r="AE66" s="18">
        <v>0.73927309697895505</v>
      </c>
      <c r="AG66" s="18">
        <f t="shared" si="0"/>
        <v>73.472667895794743</v>
      </c>
    </row>
    <row r="67" spans="1:33" x14ac:dyDescent="0.2">
      <c r="A67" s="18" t="s">
        <v>153</v>
      </c>
      <c r="B67" s="18" t="s">
        <v>90</v>
      </c>
      <c r="C67" s="18">
        <v>0.226676624263426</v>
      </c>
      <c r="D67" s="18">
        <v>1.8265914664952799E-3</v>
      </c>
      <c r="E67" s="19">
        <v>1316.79003030129</v>
      </c>
      <c r="F67" s="19">
        <v>9.5443633238282697</v>
      </c>
      <c r="G67" s="18">
        <v>28.5492684321665</v>
      </c>
      <c r="H67" s="18">
        <v>0.282287431797483</v>
      </c>
      <c r="I67" s="19">
        <v>3436.4541368063501</v>
      </c>
      <c r="J67" s="19">
        <v>9.4697650232742703</v>
      </c>
      <c r="K67" s="18">
        <v>0.48921406255451499</v>
      </c>
      <c r="L67" s="18">
        <v>4.6740521577747903E-3</v>
      </c>
      <c r="M67" s="18">
        <v>8045.7744847379799</v>
      </c>
      <c r="N67" s="18">
        <v>62.901932375831201</v>
      </c>
      <c r="O67" s="18">
        <v>0.90861053559637905</v>
      </c>
      <c r="P67" s="18">
        <v>6.0342053582368603E-3</v>
      </c>
      <c r="Q67" s="19">
        <v>4983.9160032630498</v>
      </c>
      <c r="R67" s="19">
        <v>7.20372059616109</v>
      </c>
      <c r="S67" s="18">
        <v>4.4119136210174004</v>
      </c>
      <c r="T67" s="18">
        <v>3.3623958254481202E-2</v>
      </c>
      <c r="U67" s="18">
        <v>0.94788960115780596</v>
      </c>
      <c r="V67" s="18">
        <v>5.4372140418425304E-3</v>
      </c>
      <c r="W67" s="18">
        <v>458.33096787823399</v>
      </c>
      <c r="X67" s="18">
        <v>6.3949838165433803</v>
      </c>
      <c r="Y67" s="18">
        <v>484.79163695175498</v>
      </c>
      <c r="Z67" s="18">
        <v>6.4616151934970798</v>
      </c>
      <c r="AA67" s="18">
        <v>2226.0868575079899</v>
      </c>
      <c r="AB67" s="18">
        <v>28.6297427475304</v>
      </c>
      <c r="AD67" s="18">
        <v>0.117761761633845</v>
      </c>
      <c r="AE67" s="18">
        <v>0.77371983646110198</v>
      </c>
      <c r="AG67" s="18">
        <f t="shared" si="0"/>
        <v>73.579209010762497</v>
      </c>
    </row>
    <row r="69" spans="1:33" s="16" customFormat="1" x14ac:dyDescent="0.2">
      <c r="A69" s="16" t="s">
        <v>154</v>
      </c>
      <c r="E69" s="17"/>
      <c r="F69" s="17"/>
      <c r="I69" s="17"/>
      <c r="J69" s="17"/>
      <c r="Q69" s="17"/>
      <c r="R69" s="17"/>
      <c r="AG69" s="18"/>
    </row>
    <row r="70" spans="1:33" x14ac:dyDescent="0.2">
      <c r="A70" s="18" t="s">
        <v>155</v>
      </c>
      <c r="B70" s="18" t="s">
        <v>90</v>
      </c>
      <c r="C70" s="18">
        <v>4.5208808292045002E-2</v>
      </c>
      <c r="D70" s="18">
        <v>5.5702806831961201E-4</v>
      </c>
      <c r="E70" s="19">
        <v>285.004449445153</v>
      </c>
      <c r="F70" s="19">
        <v>3.4384786018798201</v>
      </c>
      <c r="G70" s="18">
        <v>0.31692948271864502</v>
      </c>
      <c r="H70" s="18">
        <v>1.29561619892443E-2</v>
      </c>
      <c r="I70" s="19">
        <v>277.70018389828601</v>
      </c>
      <c r="J70" s="19">
        <v>9.9235002398909096</v>
      </c>
      <c r="K70" s="18">
        <v>1.4511601710222101E-2</v>
      </c>
      <c r="L70" s="18">
        <v>4.2293604017256E-4</v>
      </c>
      <c r="M70" s="18">
        <v>291.13769640894702</v>
      </c>
      <c r="N70" s="18">
        <v>8.4230413606470407</v>
      </c>
      <c r="O70" s="18">
        <v>5.0198626027370102E-2</v>
      </c>
      <c r="P70" s="18">
        <v>2.02393688746771E-3</v>
      </c>
      <c r="Q70" s="19">
        <v>125.93481842963401</v>
      </c>
      <c r="R70" s="19">
        <v>101.015898735592</v>
      </c>
      <c r="S70" s="18">
        <v>22.050773017452801</v>
      </c>
      <c r="T70" s="18">
        <v>0.266416768419519</v>
      </c>
      <c r="U70" s="18">
        <v>1.4393639693399101</v>
      </c>
      <c r="V70" s="18">
        <v>1.97394998856746E-2</v>
      </c>
      <c r="W70" s="18">
        <v>156.160024325172</v>
      </c>
      <c r="X70" s="18">
        <v>2.49060898163567</v>
      </c>
      <c r="Y70" s="18">
        <v>108.441362803735</v>
      </c>
      <c r="Z70" s="18">
        <v>1.88766625083462</v>
      </c>
      <c r="AA70" s="18">
        <v>14.7474259224565</v>
      </c>
      <c r="AB70" s="18">
        <v>0.40942540443466102</v>
      </c>
      <c r="AD70" s="18">
        <v>0.25138376460229001</v>
      </c>
      <c r="AE70" s="18">
        <v>5.35805935875832E-2</v>
      </c>
      <c r="AG70" s="18">
        <f t="shared" ref="AG70:AG118" si="1">(1-(E70/Q70))*100</f>
        <v>-126.31108139834977</v>
      </c>
    </row>
    <row r="71" spans="1:33" x14ac:dyDescent="0.2">
      <c r="A71" s="18" t="s">
        <v>156</v>
      </c>
      <c r="B71" s="18" t="s">
        <v>90</v>
      </c>
      <c r="C71" s="18">
        <v>4.5886630003318198E-2</v>
      </c>
      <c r="D71" s="18">
        <v>4.8285273012407099E-4</v>
      </c>
      <c r="E71" s="19">
        <v>289.19227786305999</v>
      </c>
      <c r="F71" s="19">
        <v>2.9764130766283401</v>
      </c>
      <c r="G71" s="18">
        <v>0.329569325849628</v>
      </c>
      <c r="H71" s="18">
        <v>1.33891442212353E-2</v>
      </c>
      <c r="I71" s="19">
        <v>288.50784306696403</v>
      </c>
      <c r="J71" s="19">
        <v>10.4880168410254</v>
      </c>
      <c r="K71" s="18">
        <v>1.4265266792855299E-2</v>
      </c>
      <c r="L71" s="18">
        <v>4.3868152595818598E-4</v>
      </c>
      <c r="M71" s="18">
        <v>286.22426148713902</v>
      </c>
      <c r="N71" s="18">
        <v>8.7405983236765099</v>
      </c>
      <c r="O71" s="18">
        <v>5.19564073679619E-2</v>
      </c>
      <c r="P71" s="18">
        <v>2.2126530437539798E-3</v>
      </c>
      <c r="Q71" s="19">
        <v>159.90046669914</v>
      </c>
      <c r="R71" s="19">
        <v>107.72171591052</v>
      </c>
      <c r="S71" s="18">
        <v>21.808351223508801</v>
      </c>
      <c r="T71" s="18">
        <v>0.22619489048552199</v>
      </c>
      <c r="U71" s="18">
        <v>1.4021099311890799</v>
      </c>
      <c r="V71" s="18">
        <v>1.7110958632600998E-2</v>
      </c>
      <c r="W71" s="18">
        <v>151.16218080016199</v>
      </c>
      <c r="X71" s="18">
        <v>2.8022415753925798</v>
      </c>
      <c r="Y71" s="18">
        <v>107.7107366556</v>
      </c>
      <c r="Z71" s="18">
        <v>2.1211271480998599</v>
      </c>
      <c r="AA71" s="18">
        <v>14.453109155759</v>
      </c>
      <c r="AB71" s="18">
        <v>0.46969421488893898</v>
      </c>
      <c r="AD71" s="18">
        <v>0.19680275022567101</v>
      </c>
      <c r="AE71" s="18">
        <v>4.49631521905813E-2</v>
      </c>
      <c r="AG71" s="18">
        <f t="shared" si="1"/>
        <v>-80.857682177493828</v>
      </c>
    </row>
    <row r="72" spans="1:33" x14ac:dyDescent="0.2">
      <c r="A72" s="18" t="s">
        <v>157</v>
      </c>
      <c r="B72" s="18" t="s">
        <v>90</v>
      </c>
      <c r="C72" s="18">
        <v>4.7624324201051199E-2</v>
      </c>
      <c r="D72" s="18">
        <v>6.6216764259880996E-4</v>
      </c>
      <c r="E72" s="19">
        <v>299.87110267651002</v>
      </c>
      <c r="F72" s="19">
        <v>4.0776131292551296</v>
      </c>
      <c r="G72" s="18">
        <v>0.34810328955867897</v>
      </c>
      <c r="H72" s="18">
        <v>1.49527895316323E-2</v>
      </c>
      <c r="I72" s="19">
        <v>300.94193949392297</v>
      </c>
      <c r="J72" s="19">
        <v>11.246116884128201</v>
      </c>
      <c r="K72" s="18">
        <v>1.50007272551649E-2</v>
      </c>
      <c r="L72" s="18">
        <v>4.6476342661178798E-4</v>
      </c>
      <c r="M72" s="18">
        <v>300.866491597302</v>
      </c>
      <c r="N72" s="18">
        <v>9.2583335919737504</v>
      </c>
      <c r="O72" s="18">
        <v>5.34398885347495E-2</v>
      </c>
      <c r="P72" s="18">
        <v>2.31031545635878E-3</v>
      </c>
      <c r="Q72" s="19">
        <v>271.09756717088601</v>
      </c>
      <c r="R72" s="19">
        <v>97.205572865376197</v>
      </c>
      <c r="S72" s="18">
        <v>21.032150568996599</v>
      </c>
      <c r="T72" s="18">
        <v>0.305476150312396</v>
      </c>
      <c r="U72" s="18">
        <v>1.1731745409038099</v>
      </c>
      <c r="V72" s="18">
        <v>1.7374407588034001E-2</v>
      </c>
      <c r="W72" s="18">
        <v>125.148090061872</v>
      </c>
      <c r="X72" s="18">
        <v>2.9348003153986402</v>
      </c>
      <c r="Y72" s="18">
        <v>106.16985463400501</v>
      </c>
      <c r="Z72" s="18">
        <v>2.3057255154820999</v>
      </c>
      <c r="AA72" s="18">
        <v>14.7944059203789</v>
      </c>
      <c r="AB72" s="18">
        <v>0.48034379782466002</v>
      </c>
      <c r="AD72" s="18">
        <v>0.20414902336414101</v>
      </c>
      <c r="AE72" s="18">
        <v>0.14718559784733001</v>
      </c>
      <c r="AG72" s="18">
        <f t="shared" si="1"/>
        <v>-10.613719557094603</v>
      </c>
    </row>
    <row r="73" spans="1:33" x14ac:dyDescent="0.2">
      <c r="A73" s="18" t="s">
        <v>158</v>
      </c>
      <c r="B73" s="18" t="s">
        <v>90</v>
      </c>
      <c r="C73" s="18">
        <v>4.76579448669383E-2</v>
      </c>
      <c r="D73" s="18">
        <v>8.1104039582169396E-4</v>
      </c>
      <c r="E73" s="19">
        <v>300.05424870910298</v>
      </c>
      <c r="F73" s="19">
        <v>4.9877782878565897</v>
      </c>
      <c r="G73" s="18">
        <v>0.346140904354371</v>
      </c>
      <c r="H73" s="18">
        <v>1.9491485135410901E-2</v>
      </c>
      <c r="I73" s="19">
        <v>297.91530411833799</v>
      </c>
      <c r="J73" s="19">
        <v>14.460647569722401</v>
      </c>
      <c r="K73" s="18">
        <v>1.3582698756940299E-2</v>
      </c>
      <c r="L73" s="18">
        <v>7.6154428973592802E-4</v>
      </c>
      <c r="M73" s="18">
        <v>272.47524161987502</v>
      </c>
      <c r="N73" s="18">
        <v>15.1691508241287</v>
      </c>
      <c r="O73" s="18">
        <v>5.3386519740143398E-2</v>
      </c>
      <c r="P73" s="18">
        <v>3.0329265074441401E-3</v>
      </c>
      <c r="Q73" s="19">
        <v>150.80031831206199</v>
      </c>
      <c r="R73" s="19">
        <v>141.669299943418</v>
      </c>
      <c r="S73" s="18">
        <v>21.113625050255202</v>
      </c>
      <c r="T73" s="18">
        <v>0.34905297348544101</v>
      </c>
      <c r="U73" s="18">
        <v>1.54715081087152</v>
      </c>
      <c r="V73" s="18">
        <v>2.4904566134426501E-2</v>
      </c>
      <c r="W73" s="18">
        <v>59.522000028751101</v>
      </c>
      <c r="X73" s="18">
        <v>1.2707337571360799</v>
      </c>
      <c r="Y73" s="18">
        <v>38.905083384230203</v>
      </c>
      <c r="Z73" s="18">
        <v>0.92172664291598105</v>
      </c>
      <c r="AA73" s="18">
        <v>4.8830269831171504</v>
      </c>
      <c r="AB73" s="18">
        <v>0.28707070137011598</v>
      </c>
      <c r="AD73" s="18">
        <v>0.18292027378596401</v>
      </c>
      <c r="AE73" s="18">
        <v>7.6157483114180802E-2</v>
      </c>
      <c r="AG73" s="18">
        <f t="shared" si="1"/>
        <v>-98.97454598748196</v>
      </c>
    </row>
    <row r="74" spans="1:33" x14ac:dyDescent="0.2">
      <c r="A74" s="18" t="s">
        <v>159</v>
      </c>
      <c r="B74" s="18" t="s">
        <v>90</v>
      </c>
      <c r="C74" s="18">
        <v>4.6902397917376999E-2</v>
      </c>
      <c r="D74" s="18">
        <v>6.2317845981752797E-4</v>
      </c>
      <c r="E74" s="19">
        <v>295.43282546079098</v>
      </c>
      <c r="F74" s="19">
        <v>3.8382952263212098</v>
      </c>
      <c r="G74" s="18">
        <v>0.34732938966371701</v>
      </c>
      <c r="H74" s="18">
        <v>2.1391438709067599E-2</v>
      </c>
      <c r="I74" s="19">
        <v>297.950218699679</v>
      </c>
      <c r="J74" s="19">
        <v>15.959246537159499</v>
      </c>
      <c r="K74" s="18">
        <v>1.46798643899554E-2</v>
      </c>
      <c r="L74" s="18">
        <v>6.1515980929377999E-4</v>
      </c>
      <c r="M74" s="18">
        <v>294.41579599498499</v>
      </c>
      <c r="N74" s="18">
        <v>12.252778634165599</v>
      </c>
      <c r="O74" s="18">
        <v>5.3860444581097698E-2</v>
      </c>
      <c r="P74" s="18">
        <v>3.2346805114048501E-3</v>
      </c>
      <c r="Q74" s="19">
        <v>235.13227913387499</v>
      </c>
      <c r="R74" s="19">
        <v>136.57071138865101</v>
      </c>
      <c r="S74" s="18">
        <v>21.2510239603731</v>
      </c>
      <c r="T74" s="18">
        <v>0.284639204410438</v>
      </c>
      <c r="U74" s="18">
        <v>1.1625935198783099</v>
      </c>
      <c r="V74" s="18">
        <v>1.7964776148372899E-2</v>
      </c>
      <c r="W74" s="18">
        <v>73.341444701000398</v>
      </c>
      <c r="X74" s="18">
        <v>1.4387153036203499</v>
      </c>
      <c r="Y74" s="18">
        <v>62.936651413876803</v>
      </c>
      <c r="Z74" s="18">
        <v>1.3090503258650199</v>
      </c>
      <c r="AA74" s="18">
        <v>8.5282634255129608</v>
      </c>
      <c r="AB74" s="18">
        <v>0.37331969753073102</v>
      </c>
      <c r="AD74" s="18">
        <v>1.7232996766279401E-2</v>
      </c>
      <c r="AE74" s="18">
        <v>0.24507459777116899</v>
      </c>
      <c r="AG74" s="18">
        <f t="shared" si="1"/>
        <v>-25.645371426261399</v>
      </c>
    </row>
    <row r="75" spans="1:33" x14ac:dyDescent="0.2">
      <c r="A75" s="18" t="s">
        <v>160</v>
      </c>
      <c r="B75" s="18" t="s">
        <v>90</v>
      </c>
      <c r="C75" s="18">
        <v>4.7366803479503297E-2</v>
      </c>
      <c r="D75" s="18">
        <v>8.5730879544823298E-4</v>
      </c>
      <c r="E75" s="19">
        <v>298.25343814410797</v>
      </c>
      <c r="F75" s="19">
        <v>5.2757833111116996</v>
      </c>
      <c r="G75" s="18">
        <v>0.36113819395595598</v>
      </c>
      <c r="H75" s="18">
        <v>2.87389404965703E-2</v>
      </c>
      <c r="I75" s="19">
        <v>304.72828563244099</v>
      </c>
      <c r="J75" s="19">
        <v>21.0818296876277</v>
      </c>
      <c r="K75" s="18">
        <v>1.45987108823719E-2</v>
      </c>
      <c r="L75" s="18">
        <v>1.0413713294083801E-3</v>
      </c>
      <c r="M75" s="18">
        <v>292.53808311361701</v>
      </c>
      <c r="N75" s="18">
        <v>20.7218925916285</v>
      </c>
      <c r="O75" s="18">
        <v>5.4876447301412501E-2</v>
      </c>
      <c r="P75" s="18">
        <v>4.22249004394608E-3</v>
      </c>
      <c r="Q75" s="19">
        <v>259.13087010559599</v>
      </c>
      <c r="R75" s="19">
        <v>176.255772886035</v>
      </c>
      <c r="S75" s="18">
        <v>21.215578647878701</v>
      </c>
      <c r="T75" s="18">
        <v>0.36800728132652299</v>
      </c>
      <c r="U75" s="18">
        <v>1.76448951232132</v>
      </c>
      <c r="V75" s="18">
        <v>3.00084329991923E-2</v>
      </c>
      <c r="W75" s="18">
        <v>41.928164521616097</v>
      </c>
      <c r="X75" s="18">
        <v>1.14665937828262</v>
      </c>
      <c r="Y75" s="18">
        <v>23.689233013579202</v>
      </c>
      <c r="Z75" s="18">
        <v>0.69311110699897305</v>
      </c>
      <c r="AA75" s="18">
        <v>3.2108060433942498</v>
      </c>
      <c r="AB75" s="18">
        <v>0.23395071954098201</v>
      </c>
      <c r="AD75" s="18">
        <v>0.13648629103723101</v>
      </c>
      <c r="AE75" s="18">
        <v>0.129635736610137</v>
      </c>
      <c r="AG75" s="18">
        <f t="shared" si="1"/>
        <v>-15.097609953831249</v>
      </c>
    </row>
    <row r="76" spans="1:33" x14ac:dyDescent="0.2">
      <c r="A76" s="18" t="s">
        <v>161</v>
      </c>
      <c r="B76" s="18" t="s">
        <v>90</v>
      </c>
      <c r="C76" s="18">
        <v>4.62295149128625E-2</v>
      </c>
      <c r="D76" s="18">
        <v>6.0047952869403897E-4</v>
      </c>
      <c r="E76" s="19">
        <v>291.291152193541</v>
      </c>
      <c r="F76" s="19">
        <v>3.7025630389644899</v>
      </c>
      <c r="G76" s="18">
        <v>0.33060341124661802</v>
      </c>
      <c r="H76" s="18">
        <v>1.8281709186997699E-2</v>
      </c>
      <c r="I76" s="19">
        <v>286.44732965456399</v>
      </c>
      <c r="J76" s="19">
        <v>13.847266059749201</v>
      </c>
      <c r="K76" s="18">
        <v>1.4389317998219801E-2</v>
      </c>
      <c r="L76" s="18">
        <v>4.8430512660115001E-4</v>
      </c>
      <c r="M76" s="18">
        <v>288.68060171770998</v>
      </c>
      <c r="N76" s="18">
        <v>9.6487787676746599</v>
      </c>
      <c r="O76" s="18">
        <v>5.2472053729251802E-2</v>
      </c>
      <c r="P76" s="18">
        <v>2.9934809466025301E-3</v>
      </c>
      <c r="Q76" s="19">
        <v>155.12326740167899</v>
      </c>
      <c r="R76" s="19">
        <v>136.13684024058199</v>
      </c>
      <c r="S76" s="18">
        <v>21.655727370679401</v>
      </c>
      <c r="T76" s="18">
        <v>0.29660237204066697</v>
      </c>
      <c r="U76" s="18">
        <v>1.1191918394943301</v>
      </c>
      <c r="V76" s="18">
        <v>1.4216320027100901E-2</v>
      </c>
      <c r="W76" s="18">
        <v>78.4822391678657</v>
      </c>
      <c r="X76" s="18">
        <v>0.98693667981673405</v>
      </c>
      <c r="Y76" s="18">
        <v>70.236736151864307</v>
      </c>
      <c r="Z76" s="18">
        <v>0.98954971808903802</v>
      </c>
      <c r="AA76" s="18">
        <v>9.1851816669829898</v>
      </c>
      <c r="AB76" s="18">
        <v>0.32529949498778798</v>
      </c>
      <c r="AD76" s="18">
        <v>0.26323175382238201</v>
      </c>
      <c r="AE76" s="18">
        <v>5.3305451936535003E-3</v>
      </c>
      <c r="AG76" s="18">
        <f t="shared" si="1"/>
        <v>-87.780438790827191</v>
      </c>
    </row>
    <row r="77" spans="1:33" x14ac:dyDescent="0.2">
      <c r="A77" s="18" t="s">
        <v>162</v>
      </c>
      <c r="B77" s="18" t="s">
        <v>90</v>
      </c>
      <c r="C77" s="18">
        <v>4.6687434752330899E-2</v>
      </c>
      <c r="D77" s="18">
        <v>5.4121004219994404E-4</v>
      </c>
      <c r="E77" s="19">
        <v>294.11963531246403</v>
      </c>
      <c r="F77" s="19">
        <v>3.3325214688598699</v>
      </c>
      <c r="G77" s="18">
        <v>0.33496329065619901</v>
      </c>
      <c r="H77" s="18">
        <v>1.4243472507991101E-2</v>
      </c>
      <c r="I77" s="19">
        <v>291.188064054042</v>
      </c>
      <c r="J77" s="19">
        <v>10.7575661117582</v>
      </c>
      <c r="K77" s="18">
        <v>1.48426641841899E-2</v>
      </c>
      <c r="L77" s="18">
        <v>4.99101673541714E-4</v>
      </c>
      <c r="M77" s="18">
        <v>297.70644843264603</v>
      </c>
      <c r="N77" s="18">
        <v>9.9371639015453201</v>
      </c>
      <c r="O77" s="18">
        <v>5.2306129750380501E-2</v>
      </c>
      <c r="P77" s="18">
        <v>2.2382089986518802E-3</v>
      </c>
      <c r="Q77" s="19">
        <v>204.61998939111399</v>
      </c>
      <c r="R77" s="19">
        <v>104.484161408915</v>
      </c>
      <c r="S77" s="18">
        <v>21.456598595327002</v>
      </c>
      <c r="T77" s="18">
        <v>0.25713347836334899</v>
      </c>
      <c r="U77" s="18">
        <v>1.1043606767087299</v>
      </c>
      <c r="V77" s="18">
        <v>1.42517587419453E-2</v>
      </c>
      <c r="W77" s="18">
        <v>96.396261279203102</v>
      </c>
      <c r="X77" s="18">
        <v>1.36603135949386</v>
      </c>
      <c r="Y77" s="18">
        <v>87.300148836737193</v>
      </c>
      <c r="Z77" s="18">
        <v>1.2928349528084799</v>
      </c>
      <c r="AA77" s="18">
        <v>11.729516027178899</v>
      </c>
      <c r="AB77" s="18">
        <v>0.42456695272481598</v>
      </c>
      <c r="AD77" s="18">
        <v>0.16543543459566201</v>
      </c>
      <c r="AE77" s="18">
        <v>9.3189334390770998E-2</v>
      </c>
      <c r="AG77" s="18">
        <f t="shared" si="1"/>
        <v>-43.739444121599938</v>
      </c>
    </row>
    <row r="78" spans="1:33" x14ac:dyDescent="0.2">
      <c r="A78" s="18" t="s">
        <v>163</v>
      </c>
      <c r="B78" s="18" t="s">
        <v>90</v>
      </c>
      <c r="C78" s="18">
        <v>4.5757921669952899E-2</v>
      </c>
      <c r="D78" s="18">
        <v>5.3688649617279803E-4</v>
      </c>
      <c r="E78" s="19">
        <v>288.39300598108701</v>
      </c>
      <c r="F78" s="19">
        <v>3.3092338464925599</v>
      </c>
      <c r="G78" s="18">
        <v>0.33670349717850101</v>
      </c>
      <c r="H78" s="18">
        <v>1.5191777479061501E-2</v>
      </c>
      <c r="I78" s="19">
        <v>293.58569720856798</v>
      </c>
      <c r="J78" s="19">
        <v>11.9652148474139</v>
      </c>
      <c r="K78" s="18">
        <v>1.4789723306359699E-2</v>
      </c>
      <c r="L78" s="18">
        <v>5.28503460988031E-4</v>
      </c>
      <c r="M78" s="18">
        <v>296.64144137162401</v>
      </c>
      <c r="N78" s="18">
        <v>10.5283590192613</v>
      </c>
      <c r="O78" s="18">
        <v>5.42104499426262E-2</v>
      </c>
      <c r="P78" s="18">
        <v>2.5280694363346498E-3</v>
      </c>
      <c r="Q78" s="19">
        <v>300.533348538974</v>
      </c>
      <c r="R78" s="19">
        <v>107.861525514067</v>
      </c>
      <c r="S78" s="18">
        <v>21.863254978506401</v>
      </c>
      <c r="T78" s="18">
        <v>0.24410280449044799</v>
      </c>
      <c r="U78" s="18">
        <v>1.42906850753227</v>
      </c>
      <c r="V78" s="18">
        <v>1.89275454544598E-2</v>
      </c>
      <c r="W78" s="18">
        <v>109.293979773041</v>
      </c>
      <c r="X78" s="18">
        <v>1.7739572470829901</v>
      </c>
      <c r="Y78" s="18">
        <v>77.171452236938407</v>
      </c>
      <c r="Z78" s="18">
        <v>1.42939860083823</v>
      </c>
      <c r="AA78" s="18">
        <v>11.059459911703399</v>
      </c>
      <c r="AB78" s="18">
        <v>0.38892027795768003</v>
      </c>
      <c r="AD78" s="18">
        <v>0.195813989841219</v>
      </c>
      <c r="AE78" s="18">
        <v>5.7076488544247198E-2</v>
      </c>
      <c r="AG78" s="18">
        <f t="shared" si="1"/>
        <v>4.0395991383008205</v>
      </c>
    </row>
    <row r="79" spans="1:33" x14ac:dyDescent="0.2">
      <c r="A79" s="18" t="s">
        <v>164</v>
      </c>
      <c r="B79" s="18" t="s">
        <v>90</v>
      </c>
      <c r="C79" s="18">
        <v>4.5803709808365699E-2</v>
      </c>
      <c r="D79" s="18">
        <v>5.2328414082154697E-4</v>
      </c>
      <c r="E79" s="19">
        <v>288.67684955691601</v>
      </c>
      <c r="F79" s="19">
        <v>3.2255056578123198</v>
      </c>
      <c r="G79" s="18">
        <v>0.32936984172227501</v>
      </c>
      <c r="H79" s="18">
        <v>1.48112192637164E-2</v>
      </c>
      <c r="I79" s="19">
        <v>286.72631410325198</v>
      </c>
      <c r="J79" s="19">
        <v>11.302201175204701</v>
      </c>
      <c r="K79" s="18">
        <v>1.4316524245186301E-2</v>
      </c>
      <c r="L79" s="18">
        <v>5.0401554419775697E-4</v>
      </c>
      <c r="M79" s="18">
        <v>287.22349144073303</v>
      </c>
      <c r="N79" s="18">
        <v>10.0417527877301</v>
      </c>
      <c r="O79" s="18">
        <v>5.2515959321179001E-2</v>
      </c>
      <c r="P79" s="18">
        <v>2.4329970556329298E-3</v>
      </c>
      <c r="Q79" s="19">
        <v>203.881189486023</v>
      </c>
      <c r="R79" s="19">
        <v>108.095649120386</v>
      </c>
      <c r="S79" s="18">
        <v>21.8737017746035</v>
      </c>
      <c r="T79" s="18">
        <v>0.25854012033780499</v>
      </c>
      <c r="U79" s="18">
        <v>1.3135358164838999</v>
      </c>
      <c r="V79" s="18">
        <v>1.4527616856350701E-2</v>
      </c>
      <c r="W79" s="18">
        <v>128.900038325884</v>
      </c>
      <c r="X79" s="18">
        <v>2.3959286980252301</v>
      </c>
      <c r="Y79" s="18">
        <v>98.4164310756465</v>
      </c>
      <c r="Z79" s="18">
        <v>1.8135057200967899</v>
      </c>
      <c r="AA79" s="18">
        <v>13.708277164183199</v>
      </c>
      <c r="AB79" s="18">
        <v>0.49066531244167699</v>
      </c>
      <c r="AD79" s="18">
        <v>0.234772465100901</v>
      </c>
      <c r="AE79" s="18">
        <v>3.7399673179705502E-2</v>
      </c>
      <c r="AG79" s="18">
        <f t="shared" si="1"/>
        <v>-41.590722657965529</v>
      </c>
    </row>
    <row r="80" spans="1:33" x14ac:dyDescent="0.2">
      <c r="A80" s="18" t="s">
        <v>165</v>
      </c>
      <c r="B80" s="18" t="s">
        <v>90</v>
      </c>
      <c r="C80" s="18">
        <v>4.61075738008737E-2</v>
      </c>
      <c r="D80" s="18">
        <v>5.2566528088745796E-4</v>
      </c>
      <c r="E80" s="19">
        <v>290.54912767006402</v>
      </c>
      <c r="F80" s="19">
        <v>3.2415369293347198</v>
      </c>
      <c r="G80" s="18">
        <v>0.33749579803540303</v>
      </c>
      <c r="H80" s="18">
        <v>1.3023819248155599E-2</v>
      </c>
      <c r="I80" s="19">
        <v>293.45236527769401</v>
      </c>
      <c r="J80" s="19">
        <v>9.9016446485781202</v>
      </c>
      <c r="K80" s="18">
        <v>1.3928349051816599E-2</v>
      </c>
      <c r="L80" s="18">
        <v>4.8916714351653903E-4</v>
      </c>
      <c r="M80" s="18">
        <v>279.49160194078001</v>
      </c>
      <c r="N80" s="18">
        <v>9.7525484445840593</v>
      </c>
      <c r="O80" s="18">
        <v>5.3105027902257997E-2</v>
      </c>
      <c r="P80" s="18">
        <v>2.08407926882296E-3</v>
      </c>
      <c r="Q80" s="19">
        <v>266.75025275440697</v>
      </c>
      <c r="R80" s="19">
        <v>91.662454071904904</v>
      </c>
      <c r="S80" s="18">
        <v>21.6905020408486</v>
      </c>
      <c r="T80" s="18">
        <v>0.25529159356662101</v>
      </c>
      <c r="U80" s="18">
        <v>1.2722644090998301</v>
      </c>
      <c r="V80" s="18">
        <v>1.7552225881147E-2</v>
      </c>
      <c r="W80" s="18">
        <v>158.391591161988</v>
      </c>
      <c r="X80" s="18">
        <v>2.27164245370188</v>
      </c>
      <c r="Y80" s="18">
        <v>123.900779312124</v>
      </c>
      <c r="Z80" s="18">
        <v>1.8138298093022001</v>
      </c>
      <c r="AA80" s="18">
        <v>15.4276096160329</v>
      </c>
      <c r="AB80" s="18">
        <v>0.54554307836081295</v>
      </c>
      <c r="AD80" s="18">
        <v>0.23350082417524901</v>
      </c>
      <c r="AE80" s="18">
        <v>3.96982411657298E-2</v>
      </c>
      <c r="AG80" s="18">
        <f t="shared" si="1"/>
        <v>-8.9217815803040104</v>
      </c>
    </row>
    <row r="81" spans="1:33" x14ac:dyDescent="0.2">
      <c r="A81" s="18" t="s">
        <v>166</v>
      </c>
      <c r="B81" s="18" t="s">
        <v>90</v>
      </c>
      <c r="C81" s="18">
        <v>4.62311712654263E-2</v>
      </c>
      <c r="D81" s="18">
        <v>4.6914005118222301E-4</v>
      </c>
      <c r="E81" s="19">
        <v>291.31701959153401</v>
      </c>
      <c r="F81" s="19">
        <v>2.8898034925567702</v>
      </c>
      <c r="G81" s="18">
        <v>0.337336938343897</v>
      </c>
      <c r="H81" s="18">
        <v>1.37208111560123E-2</v>
      </c>
      <c r="I81" s="19">
        <v>294.538825799888</v>
      </c>
      <c r="J81" s="19">
        <v>10.0517199872604</v>
      </c>
      <c r="K81" s="18">
        <v>1.42605011126711E-2</v>
      </c>
      <c r="L81" s="18">
        <v>4.6072073423660199E-4</v>
      </c>
      <c r="M81" s="18">
        <v>286.12192178712002</v>
      </c>
      <c r="N81" s="18">
        <v>9.1814638926934595</v>
      </c>
      <c r="O81" s="18">
        <v>5.3075535136178201E-2</v>
      </c>
      <c r="P81" s="18">
        <v>2.2311050405948601E-3</v>
      </c>
      <c r="Q81" s="19">
        <v>244.77377123029001</v>
      </c>
      <c r="R81" s="19">
        <v>102.173833417872</v>
      </c>
      <c r="S81" s="18">
        <v>21.650053576720399</v>
      </c>
      <c r="T81" s="18">
        <v>0.223902407541098</v>
      </c>
      <c r="U81" s="18">
        <v>1.2557792888289301</v>
      </c>
      <c r="V81" s="18">
        <v>1.70295861605003E-2</v>
      </c>
      <c r="W81" s="18">
        <v>156.19377436279899</v>
      </c>
      <c r="X81" s="18">
        <v>2.7063142409630698</v>
      </c>
      <c r="Y81" s="18">
        <v>123.328760370385</v>
      </c>
      <c r="Z81" s="18">
        <v>2.3517693328610201</v>
      </c>
      <c r="AA81" s="18">
        <v>15.676005994749101</v>
      </c>
      <c r="AB81" s="18">
        <v>0.520362592286022</v>
      </c>
      <c r="AD81" s="18">
        <v>0.21931463444427601</v>
      </c>
      <c r="AE81" s="18">
        <v>1.63859917688957E-2</v>
      </c>
      <c r="AG81" s="18">
        <f t="shared" si="1"/>
        <v>-19.014802169083222</v>
      </c>
    </row>
    <row r="82" spans="1:33" x14ac:dyDescent="0.2">
      <c r="A82" s="18" t="s">
        <v>167</v>
      </c>
      <c r="B82" s="18" t="s">
        <v>90</v>
      </c>
      <c r="C82" s="18">
        <v>4.4659698827664698E-2</v>
      </c>
      <c r="D82" s="18">
        <v>5.0793300033319703E-4</v>
      </c>
      <c r="E82" s="19">
        <v>281.62273475144599</v>
      </c>
      <c r="F82" s="19">
        <v>3.1325700548231699</v>
      </c>
      <c r="G82" s="18">
        <v>0.31925956376455</v>
      </c>
      <c r="H82" s="18">
        <v>1.2959693939871101E-2</v>
      </c>
      <c r="I82" s="19">
        <v>279.48648466377398</v>
      </c>
      <c r="J82" s="19">
        <v>9.9644342487441708</v>
      </c>
      <c r="K82" s="18">
        <v>1.4088323209811101E-2</v>
      </c>
      <c r="L82" s="18">
        <v>4.4637262229832301E-4</v>
      </c>
      <c r="M82" s="18">
        <v>282.69527905982</v>
      </c>
      <c r="N82" s="18">
        <v>8.8953074974875701</v>
      </c>
      <c r="O82" s="18">
        <v>5.16966425855779E-2</v>
      </c>
      <c r="P82" s="18">
        <v>2.0753580950898399E-3</v>
      </c>
      <c r="Q82" s="19">
        <v>172.349832640128</v>
      </c>
      <c r="R82" s="19">
        <v>100.490607426116</v>
      </c>
      <c r="S82" s="18">
        <v>22.450309810860801</v>
      </c>
      <c r="T82" s="18">
        <v>0.25213558819085802</v>
      </c>
      <c r="U82" s="18">
        <v>1.2675362535365799</v>
      </c>
      <c r="V82" s="18">
        <v>1.5812473888069601E-2</v>
      </c>
      <c r="W82" s="18">
        <v>152.79524407695101</v>
      </c>
      <c r="X82" s="18">
        <v>3.3004473786748698</v>
      </c>
      <c r="Y82" s="18">
        <v>120.191807794399</v>
      </c>
      <c r="Z82" s="18">
        <v>2.5189764050986101</v>
      </c>
      <c r="AA82" s="18">
        <v>15.9873686479496</v>
      </c>
      <c r="AB82" s="18">
        <v>0.55471938943534504</v>
      </c>
      <c r="AD82" s="18">
        <v>0.12933090307760101</v>
      </c>
      <c r="AE82" s="18">
        <v>0.14873723095097</v>
      </c>
      <c r="AG82" s="18">
        <f t="shared" si="1"/>
        <v>-63.401803435158158</v>
      </c>
    </row>
    <row r="83" spans="1:33" x14ac:dyDescent="0.2">
      <c r="A83" s="18" t="s">
        <v>168</v>
      </c>
      <c r="B83" s="18" t="s">
        <v>90</v>
      </c>
      <c r="C83" s="18">
        <v>4.5001688095305602E-2</v>
      </c>
      <c r="D83" s="18">
        <v>5.2125121104132398E-4</v>
      </c>
      <c r="E83" s="19">
        <v>283.73123853536202</v>
      </c>
      <c r="F83" s="19">
        <v>3.2135669944610599</v>
      </c>
      <c r="G83" s="18">
        <v>0.32034736868245001</v>
      </c>
      <c r="H83" s="18">
        <v>1.3376954912317499E-2</v>
      </c>
      <c r="I83" s="19">
        <v>282.826177308041</v>
      </c>
      <c r="J83" s="19">
        <v>10.7935121836052</v>
      </c>
      <c r="K83" s="18">
        <v>1.4115498536196E-2</v>
      </c>
      <c r="L83" s="18">
        <v>4.3401455060144902E-4</v>
      </c>
      <c r="M83" s="18">
        <v>283.24093651147098</v>
      </c>
      <c r="N83" s="18">
        <v>8.6504189787749706</v>
      </c>
      <c r="O83" s="18">
        <v>5.19579459235925E-2</v>
      </c>
      <c r="P83" s="18">
        <v>2.2819665309963999E-3</v>
      </c>
      <c r="Q83" s="19">
        <v>181.781532567147</v>
      </c>
      <c r="R83" s="19">
        <v>105.559120971138</v>
      </c>
      <c r="S83" s="18">
        <v>22.283063763642399</v>
      </c>
      <c r="T83" s="18">
        <v>0.25394928287854701</v>
      </c>
      <c r="U83" s="18">
        <v>1.24871871726502</v>
      </c>
      <c r="V83" s="18">
        <v>1.5878093421822299E-2</v>
      </c>
      <c r="W83" s="18">
        <v>146.33278839873901</v>
      </c>
      <c r="X83" s="18">
        <v>3.5424810269512501</v>
      </c>
      <c r="Y83" s="18">
        <v>116.968470333873</v>
      </c>
      <c r="Z83" s="18">
        <v>2.5629053428989201</v>
      </c>
      <c r="AA83" s="18">
        <v>15.6246328042372</v>
      </c>
      <c r="AB83" s="18">
        <v>0.54853441473307996</v>
      </c>
      <c r="AD83" s="18">
        <v>0.226794656819511</v>
      </c>
      <c r="AE83" s="18">
        <v>3.4057420973602801E-2</v>
      </c>
      <c r="AG83" s="18">
        <f t="shared" si="1"/>
        <v>-56.083643111852723</v>
      </c>
    </row>
    <row r="84" spans="1:33" x14ac:dyDescent="0.2">
      <c r="A84" s="18" t="s">
        <v>169</v>
      </c>
      <c r="B84" s="18" t="s">
        <v>90</v>
      </c>
      <c r="C84" s="18">
        <v>4.5191120038045103E-2</v>
      </c>
      <c r="D84" s="18">
        <v>4.7734470471267899E-4</v>
      </c>
      <c r="E84" s="19">
        <v>284.90476380106998</v>
      </c>
      <c r="F84" s="19">
        <v>2.9421376739365499</v>
      </c>
      <c r="G84" s="18">
        <v>0.33018915161874102</v>
      </c>
      <c r="H84" s="18">
        <v>1.2484341227104999E-2</v>
      </c>
      <c r="I84" s="19">
        <v>288.03057234546299</v>
      </c>
      <c r="J84" s="19">
        <v>9.5451689813874498</v>
      </c>
      <c r="K84" s="18">
        <v>1.40894671858604E-2</v>
      </c>
      <c r="L84" s="18">
        <v>4.2940427071157001E-4</v>
      </c>
      <c r="M84" s="18">
        <v>282.72405010146298</v>
      </c>
      <c r="N84" s="18">
        <v>8.5566562932135408</v>
      </c>
      <c r="O84" s="18">
        <v>5.3139383690142497E-2</v>
      </c>
      <c r="P84" s="18">
        <v>2.1398792224621502E-3</v>
      </c>
      <c r="Q84" s="19">
        <v>252.685431347812</v>
      </c>
      <c r="R84" s="19">
        <v>97.563636210713199</v>
      </c>
      <c r="S84" s="18">
        <v>22.141763607203199</v>
      </c>
      <c r="T84" s="18">
        <v>0.23582479975141299</v>
      </c>
      <c r="U84" s="18">
        <v>1.2311379372909901</v>
      </c>
      <c r="V84" s="18">
        <v>1.5049079108306501E-2</v>
      </c>
      <c r="W84" s="18">
        <v>190.55608441439901</v>
      </c>
      <c r="X84" s="18">
        <v>3.81182884278885</v>
      </c>
      <c r="Y84" s="18">
        <v>154.753906905679</v>
      </c>
      <c r="Z84" s="18">
        <v>3.26048325273563</v>
      </c>
      <c r="AA84" s="18">
        <v>20.475549701378601</v>
      </c>
      <c r="AB84" s="18">
        <v>0.70108711840242099</v>
      </c>
      <c r="AD84" s="18">
        <v>0.21677475735609</v>
      </c>
      <c r="AE84" s="18">
        <v>7.8972981555454402E-2</v>
      </c>
      <c r="AG84" s="18">
        <f t="shared" si="1"/>
        <v>-12.750767735758096</v>
      </c>
    </row>
    <row r="85" spans="1:33" x14ac:dyDescent="0.2">
      <c r="A85" s="18" t="s">
        <v>170</v>
      </c>
      <c r="B85" s="18" t="s">
        <v>90</v>
      </c>
      <c r="C85" s="18">
        <v>4.4683287118208799E-2</v>
      </c>
      <c r="D85" s="18">
        <v>5.2072669640581301E-4</v>
      </c>
      <c r="E85" s="19">
        <v>281.76701127884701</v>
      </c>
      <c r="F85" s="19">
        <v>3.2127140645594601</v>
      </c>
      <c r="G85" s="18">
        <v>0.325662181344542</v>
      </c>
      <c r="H85" s="18">
        <v>1.37512414605588E-2</v>
      </c>
      <c r="I85" s="19">
        <v>284.20826907564401</v>
      </c>
      <c r="J85" s="19">
        <v>10.507039516093201</v>
      </c>
      <c r="K85" s="18">
        <v>1.42855932857877E-2</v>
      </c>
      <c r="L85" s="18">
        <v>4.2993526314209199E-4</v>
      </c>
      <c r="M85" s="18">
        <v>286.63256112257898</v>
      </c>
      <c r="N85" s="18">
        <v>8.5691727554128594</v>
      </c>
      <c r="O85" s="18">
        <v>5.2409059584103503E-2</v>
      </c>
      <c r="P85" s="18">
        <v>2.1807007014532898E-3</v>
      </c>
      <c r="Q85" s="19">
        <v>224.81688391559999</v>
      </c>
      <c r="R85" s="19">
        <v>101.74809238010199</v>
      </c>
      <c r="S85" s="18">
        <v>22.413976840357801</v>
      </c>
      <c r="T85" s="18">
        <v>0.26913122664007699</v>
      </c>
      <c r="U85" s="18">
        <v>1.32489062435167</v>
      </c>
      <c r="V85" s="18">
        <v>1.5746338444973799E-2</v>
      </c>
      <c r="W85" s="18">
        <v>204.71497840056301</v>
      </c>
      <c r="X85" s="18">
        <v>2.72341194673225</v>
      </c>
      <c r="Y85" s="18">
        <v>153.50567606438</v>
      </c>
      <c r="Z85" s="18">
        <v>2.1886929831567401</v>
      </c>
      <c r="AA85" s="18">
        <v>20.6192560457316</v>
      </c>
      <c r="AB85" s="18">
        <v>0.63943169815696299</v>
      </c>
      <c r="AD85" s="18">
        <v>0.20621850996135499</v>
      </c>
      <c r="AE85" s="18">
        <v>6.4124613315857698E-2</v>
      </c>
      <c r="AG85" s="18">
        <f t="shared" si="1"/>
        <v>-25.331783970739075</v>
      </c>
    </row>
    <row r="87" spans="1:33" s="16" customFormat="1" x14ac:dyDescent="0.2">
      <c r="A87" s="16" t="s">
        <v>171</v>
      </c>
      <c r="E87" s="17"/>
      <c r="F87" s="17"/>
      <c r="I87" s="17"/>
      <c r="J87" s="17"/>
      <c r="Q87" s="17"/>
      <c r="R87" s="17"/>
      <c r="AG87" s="18"/>
    </row>
    <row r="88" spans="1:33" x14ac:dyDescent="0.2">
      <c r="A88" s="18" t="s">
        <v>172</v>
      </c>
      <c r="B88" s="18" t="s">
        <v>90</v>
      </c>
      <c r="C88" s="18">
        <v>0.17908053382657901</v>
      </c>
      <c r="D88" s="18">
        <v>1.49789280026187E-3</v>
      </c>
      <c r="E88" s="19">
        <v>1061.75432922708</v>
      </c>
      <c r="F88" s="19">
        <v>8.1949282962990306</v>
      </c>
      <c r="G88" s="18">
        <v>1.8475490133911601</v>
      </c>
      <c r="H88" s="18">
        <v>4.7018547207566798E-2</v>
      </c>
      <c r="I88" s="19">
        <v>1063.80557091743</v>
      </c>
      <c r="J88" s="19">
        <v>16.200054093409001</v>
      </c>
      <c r="K88" s="18">
        <v>5.3943996605760998E-2</v>
      </c>
      <c r="L88" s="18">
        <v>1.47099093065305E-3</v>
      </c>
      <c r="M88" s="18">
        <v>1061.19889306799</v>
      </c>
      <c r="N88" s="18">
        <v>28.197612098570499</v>
      </c>
      <c r="O88" s="18">
        <v>7.4066843620552894E-2</v>
      </c>
      <c r="P88" s="18">
        <v>1.90768962037322E-3</v>
      </c>
      <c r="Q88" s="19">
        <v>1017.16606456842</v>
      </c>
      <c r="R88" s="19">
        <v>51.600770492491598</v>
      </c>
      <c r="S88" s="18">
        <v>5.5865904527505803</v>
      </c>
      <c r="T88" s="18">
        <v>4.7438557365244202E-2</v>
      </c>
      <c r="U88" s="18">
        <v>2.68664302228943</v>
      </c>
      <c r="V88" s="18">
        <v>2.6516705656768599E-2</v>
      </c>
      <c r="W88" s="18">
        <v>79.759131491664107</v>
      </c>
      <c r="X88" s="18">
        <v>1.3187048720836201</v>
      </c>
      <c r="Y88" s="18">
        <v>29.741737415550901</v>
      </c>
      <c r="Z88" s="18">
        <v>0.52554609997844204</v>
      </c>
      <c r="AA88" s="18">
        <v>14.782232593242201</v>
      </c>
      <c r="AB88" s="18">
        <v>0.43286806780785603</v>
      </c>
      <c r="AD88" s="18">
        <v>0.12059606413276699</v>
      </c>
      <c r="AE88" s="18">
        <v>0.22202968358474201</v>
      </c>
      <c r="AG88" s="18">
        <f t="shared" si="1"/>
        <v>-4.3835776882291677</v>
      </c>
    </row>
    <row r="89" spans="1:33" x14ac:dyDescent="0.2">
      <c r="A89" s="18" t="s">
        <v>173</v>
      </c>
      <c r="B89" s="18" t="s">
        <v>90</v>
      </c>
      <c r="C89" s="18">
        <v>0.17907849432581399</v>
      </c>
      <c r="D89" s="18">
        <v>1.2650725420481901E-3</v>
      </c>
      <c r="E89" s="19">
        <v>1061.7984396857501</v>
      </c>
      <c r="F89" s="19">
        <v>6.9134352869538596</v>
      </c>
      <c r="G89" s="18">
        <v>1.8544381789013999</v>
      </c>
      <c r="H89" s="18">
        <v>4.1864441509665597E-2</v>
      </c>
      <c r="I89" s="19">
        <v>1062.8143185771</v>
      </c>
      <c r="J89" s="19">
        <v>15.2423278188162</v>
      </c>
      <c r="K89" s="18">
        <v>5.4203957264623202E-2</v>
      </c>
      <c r="L89" s="18">
        <v>1.6195685795331301E-3</v>
      </c>
      <c r="M89" s="18">
        <v>1066.0212435805499</v>
      </c>
      <c r="N89" s="18">
        <v>31.047704574542198</v>
      </c>
      <c r="O89" s="18">
        <v>7.4272533263507107E-2</v>
      </c>
      <c r="P89" s="18">
        <v>1.6906042764451199E-3</v>
      </c>
      <c r="Q89" s="19">
        <v>1028.39741608848</v>
      </c>
      <c r="R89" s="19">
        <v>46.5450486419942</v>
      </c>
      <c r="S89" s="18">
        <v>5.5823843301132898</v>
      </c>
      <c r="T89" s="18">
        <v>3.9393943249843501E-2</v>
      </c>
      <c r="U89" s="18">
        <v>2.6463170360492398</v>
      </c>
      <c r="V89" s="18">
        <v>2.7023964787696201E-2</v>
      </c>
      <c r="W89" s="18">
        <v>80.371882662969298</v>
      </c>
      <c r="X89" s="18">
        <v>1.2253528542468</v>
      </c>
      <c r="Y89" s="18">
        <v>30.301267881033102</v>
      </c>
      <c r="Z89" s="18">
        <v>0.50733660154771199</v>
      </c>
      <c r="AA89" s="18">
        <v>15.261635486376001</v>
      </c>
      <c r="AB89" s="18">
        <v>0.47594647075134799</v>
      </c>
      <c r="AD89" s="18">
        <v>9.9886131800801706E-2</v>
      </c>
      <c r="AE89" s="18">
        <v>0.232206309164282</v>
      </c>
      <c r="AG89" s="18">
        <f t="shared" si="1"/>
        <v>-3.2478712095865836</v>
      </c>
    </row>
    <row r="90" spans="1:33" x14ac:dyDescent="0.2">
      <c r="A90" s="18" t="s">
        <v>174</v>
      </c>
      <c r="B90" s="18" t="s">
        <v>90</v>
      </c>
      <c r="C90" s="18">
        <v>0.179606636911044</v>
      </c>
      <c r="D90" s="18">
        <v>1.3080356499462801E-3</v>
      </c>
      <c r="E90" s="19">
        <v>1064.67574606925</v>
      </c>
      <c r="F90" s="19">
        <v>7.14634467191265</v>
      </c>
      <c r="G90" s="18">
        <v>1.8463896851872501</v>
      </c>
      <c r="H90" s="18">
        <v>4.6840060613016397E-2</v>
      </c>
      <c r="I90" s="19">
        <v>1056.8223793621901</v>
      </c>
      <c r="J90" s="19">
        <v>17.042441416185198</v>
      </c>
      <c r="K90" s="18">
        <v>5.3988004666808802E-2</v>
      </c>
      <c r="L90" s="18">
        <v>1.5590827492246899E-3</v>
      </c>
      <c r="M90" s="18">
        <v>1061.94668305153</v>
      </c>
      <c r="N90" s="18">
        <v>29.875079240407899</v>
      </c>
      <c r="O90" s="18">
        <v>7.36684716990436E-2</v>
      </c>
      <c r="P90" s="18">
        <v>1.84621655076831E-3</v>
      </c>
      <c r="Q90" s="19">
        <v>997.198900164463</v>
      </c>
      <c r="R90" s="19">
        <v>54.794440784277</v>
      </c>
      <c r="S90" s="18">
        <v>5.56674606410186</v>
      </c>
      <c r="T90" s="18">
        <v>4.0612676241598297E-2</v>
      </c>
      <c r="U90" s="18">
        <v>2.6654080793122801</v>
      </c>
      <c r="V90" s="18">
        <v>2.8407556806231599E-2</v>
      </c>
      <c r="W90" s="18">
        <v>79.872411037693993</v>
      </c>
      <c r="X90" s="18">
        <v>1.1746118588623</v>
      </c>
      <c r="Y90" s="18">
        <v>29.9795486223524</v>
      </c>
      <c r="Z90" s="18">
        <v>0.494784486689401</v>
      </c>
      <c r="AA90" s="18">
        <v>15.021928114809</v>
      </c>
      <c r="AB90" s="18">
        <v>0.43013499936787603</v>
      </c>
      <c r="AD90" s="18">
        <v>0.154925548455593</v>
      </c>
      <c r="AE90" s="18">
        <v>0.19143106373830901</v>
      </c>
      <c r="AG90" s="18">
        <f t="shared" si="1"/>
        <v>-6.7666386208065754</v>
      </c>
    </row>
    <row r="91" spans="1:33" x14ac:dyDescent="0.2">
      <c r="A91" s="18" t="s">
        <v>175</v>
      </c>
      <c r="B91" s="18" t="s">
        <v>90</v>
      </c>
      <c r="C91" s="18">
        <v>0.176779842281716</v>
      </c>
      <c r="D91" s="18">
        <v>1.52172916353597E-3</v>
      </c>
      <c r="E91" s="19">
        <v>1049.15542570509</v>
      </c>
      <c r="F91" s="19">
        <v>8.3293403572657194</v>
      </c>
      <c r="G91" s="18">
        <v>1.8071627794079299</v>
      </c>
      <c r="H91" s="18">
        <v>4.6059822398321897E-2</v>
      </c>
      <c r="I91" s="19">
        <v>1045.08251093535</v>
      </c>
      <c r="J91" s="19">
        <v>16.1392307894059</v>
      </c>
      <c r="K91" s="18">
        <v>5.2019350861179203E-2</v>
      </c>
      <c r="L91" s="18">
        <v>1.6404815269014E-3</v>
      </c>
      <c r="M91" s="18">
        <v>1024.0652067838801</v>
      </c>
      <c r="N91" s="18">
        <v>31.511106456625399</v>
      </c>
      <c r="O91" s="18">
        <v>7.4448321777280793E-2</v>
      </c>
      <c r="P91" s="18">
        <v>1.8613347622615901E-3</v>
      </c>
      <c r="Q91" s="19">
        <v>1029.0633901527999</v>
      </c>
      <c r="R91" s="19">
        <v>49.761204398340702</v>
      </c>
      <c r="S91" s="18">
        <v>5.6605591504259998</v>
      </c>
      <c r="T91" s="18">
        <v>4.85771314741964E-2</v>
      </c>
      <c r="U91" s="18">
        <v>2.6586641979788501</v>
      </c>
      <c r="V91" s="18">
        <v>2.8892094137810399E-2</v>
      </c>
      <c r="W91" s="18">
        <v>80.412195501319005</v>
      </c>
      <c r="X91" s="18">
        <v>1.2419988963114299</v>
      </c>
      <c r="Y91" s="18">
        <v>30.249121542194501</v>
      </c>
      <c r="Z91" s="18">
        <v>0.47994274571503498</v>
      </c>
      <c r="AA91" s="18">
        <v>14.877686114772199</v>
      </c>
      <c r="AB91" s="18">
        <v>0.47550135100242802</v>
      </c>
      <c r="AD91" s="18">
        <v>0.17287737486139901</v>
      </c>
      <c r="AE91" s="18">
        <v>0.240994081340517</v>
      </c>
      <c r="AG91" s="18">
        <f t="shared" si="1"/>
        <v>-1.952458492309872</v>
      </c>
    </row>
    <row r="92" spans="1:33" x14ac:dyDescent="0.2">
      <c r="A92" s="18" t="s">
        <v>176</v>
      </c>
      <c r="B92" s="18" t="s">
        <v>90</v>
      </c>
      <c r="C92" s="18">
        <v>0.179502693556405</v>
      </c>
      <c r="D92" s="18">
        <v>1.4786669281359401E-3</v>
      </c>
      <c r="E92" s="19">
        <v>1064.0660852313099</v>
      </c>
      <c r="F92" s="19">
        <v>8.0796060955978195</v>
      </c>
      <c r="G92" s="18">
        <v>1.8772542550648299</v>
      </c>
      <c r="H92" s="18">
        <v>4.62521368691459E-2</v>
      </c>
      <c r="I92" s="19">
        <v>1068.1453042426201</v>
      </c>
      <c r="J92" s="19">
        <v>16.328013952122799</v>
      </c>
      <c r="K92" s="18">
        <v>5.4260772174234299E-2</v>
      </c>
      <c r="L92" s="18">
        <v>1.80684327696877E-3</v>
      </c>
      <c r="M92" s="18">
        <v>1066.8917248063001</v>
      </c>
      <c r="N92" s="18">
        <v>34.605851092240002</v>
      </c>
      <c r="O92" s="18">
        <v>7.6240032803196606E-2</v>
      </c>
      <c r="P92" s="18">
        <v>1.8769425625550301E-3</v>
      </c>
      <c r="Q92" s="19">
        <v>1082.80582734572</v>
      </c>
      <c r="R92" s="19">
        <v>47.7640399540009</v>
      </c>
      <c r="S92" s="18">
        <v>5.5733505043815201</v>
      </c>
      <c r="T92" s="18">
        <v>4.6089529296412003E-2</v>
      </c>
      <c r="U92" s="18">
        <v>2.6796739064678201</v>
      </c>
      <c r="V92" s="18">
        <v>3.2905807472388901E-2</v>
      </c>
      <c r="W92" s="18">
        <v>79.566537832902398</v>
      </c>
      <c r="X92" s="18">
        <v>1.2222422941541899</v>
      </c>
      <c r="Y92" s="18">
        <v>29.730380037991701</v>
      </c>
      <c r="Z92" s="18">
        <v>0.48655606666624401</v>
      </c>
      <c r="AA92" s="18">
        <v>15.1756794222871</v>
      </c>
      <c r="AB92" s="18">
        <v>0.49473881354943899</v>
      </c>
      <c r="AD92" s="18">
        <v>0.208096432057393</v>
      </c>
      <c r="AE92" s="18">
        <v>0.169593416890022</v>
      </c>
      <c r="AG92" s="18">
        <f t="shared" si="1"/>
        <v>1.7306650593437278</v>
      </c>
    </row>
    <row r="93" spans="1:33" x14ac:dyDescent="0.2">
      <c r="A93" s="18" t="s">
        <v>177</v>
      </c>
      <c r="B93" s="18" t="s">
        <v>90</v>
      </c>
      <c r="C93" s="18">
        <v>0.180761256161169</v>
      </c>
      <c r="D93" s="18">
        <v>1.5850054227792101E-3</v>
      </c>
      <c r="E93" s="19">
        <v>1070.91308598862</v>
      </c>
      <c r="F93" s="19">
        <v>8.6461976045625306</v>
      </c>
      <c r="G93" s="18">
        <v>1.8634392778792499</v>
      </c>
      <c r="H93" s="18">
        <v>4.5766960326920902E-2</v>
      </c>
      <c r="I93" s="19">
        <v>1063.2987636390501</v>
      </c>
      <c r="J93" s="19">
        <v>16.2701195312018</v>
      </c>
      <c r="K93" s="18">
        <v>5.3049810915751901E-2</v>
      </c>
      <c r="L93" s="18">
        <v>1.76766619182871E-3</v>
      </c>
      <c r="M93" s="18">
        <v>1043.7066210339599</v>
      </c>
      <c r="N93" s="18">
        <v>33.913700297267397</v>
      </c>
      <c r="O93" s="18">
        <v>7.5230294985144205E-2</v>
      </c>
      <c r="P93" s="18">
        <v>1.81337355110912E-3</v>
      </c>
      <c r="Q93" s="19">
        <v>1044.2766045061101</v>
      </c>
      <c r="R93" s="19">
        <v>49.710441610843702</v>
      </c>
      <c r="S93" s="18">
        <v>5.5304405148080598</v>
      </c>
      <c r="T93" s="18">
        <v>4.9480720254364403E-2</v>
      </c>
      <c r="U93" s="18">
        <v>2.6662636095040901</v>
      </c>
      <c r="V93" s="18">
        <v>3.36772649961685E-2</v>
      </c>
      <c r="W93" s="18">
        <v>80.010507554417401</v>
      </c>
      <c r="X93" s="18">
        <v>1.39249764306552</v>
      </c>
      <c r="Y93" s="18">
        <v>29.989280041498901</v>
      </c>
      <c r="Z93" s="18">
        <v>0.50564080236563602</v>
      </c>
      <c r="AA93" s="18">
        <v>14.951371245724999</v>
      </c>
      <c r="AB93" s="18">
        <v>0.45961276219961</v>
      </c>
      <c r="AD93" s="18">
        <v>0.15002424098705899</v>
      </c>
      <c r="AE93" s="18">
        <v>0.238350108258681</v>
      </c>
      <c r="AG93" s="18">
        <f t="shared" si="1"/>
        <v>-2.5507113122684277</v>
      </c>
    </row>
    <row r="94" spans="1:33" x14ac:dyDescent="0.2">
      <c r="A94" s="18" t="s">
        <v>178</v>
      </c>
      <c r="B94" s="18" t="s">
        <v>90</v>
      </c>
      <c r="C94" s="18">
        <v>0.17943159350846799</v>
      </c>
      <c r="D94" s="18">
        <v>1.5508505324617001E-3</v>
      </c>
      <c r="E94" s="19">
        <v>1063.6584418843199</v>
      </c>
      <c r="F94" s="19">
        <v>8.4709599039688204</v>
      </c>
      <c r="G94" s="18">
        <v>1.85030410303503</v>
      </c>
      <c r="H94" s="18">
        <v>5.1679432951777501E-2</v>
      </c>
      <c r="I94" s="19">
        <v>1057.10061762794</v>
      </c>
      <c r="J94" s="19">
        <v>18.736785821796499</v>
      </c>
      <c r="K94" s="18">
        <v>5.3683161606462901E-2</v>
      </c>
      <c r="L94" s="18">
        <v>1.75467346105303E-3</v>
      </c>
      <c r="M94" s="18">
        <v>1055.8769337886599</v>
      </c>
      <c r="N94" s="18">
        <v>33.632690576565601</v>
      </c>
      <c r="O94" s="18">
        <v>7.5269486397642402E-2</v>
      </c>
      <c r="P94" s="18">
        <v>2.1370471059211798E-3</v>
      </c>
      <c r="Q94" s="19">
        <v>1046.4825140579801</v>
      </c>
      <c r="R94" s="19">
        <v>59.2379859979036</v>
      </c>
      <c r="S94" s="18">
        <v>5.5745140769945403</v>
      </c>
      <c r="T94" s="18">
        <v>4.8079085960026302E-2</v>
      </c>
      <c r="U94" s="18">
        <v>2.65405027369397</v>
      </c>
      <c r="V94" s="18">
        <v>2.9763551213651099E-2</v>
      </c>
      <c r="W94" s="18">
        <v>79.933384989103601</v>
      </c>
      <c r="X94" s="18">
        <v>1.3064603955916001</v>
      </c>
      <c r="Y94" s="18">
        <v>30.0261484391844</v>
      </c>
      <c r="Z94" s="18">
        <v>0.50820989994060195</v>
      </c>
      <c r="AA94" s="18">
        <v>14.926946878287101</v>
      </c>
      <c r="AB94" s="18">
        <v>0.48165113529328601</v>
      </c>
      <c r="AD94" s="18">
        <v>0.24837902649169799</v>
      </c>
      <c r="AE94" s="18">
        <v>4.2687475304427798E-2</v>
      </c>
      <c r="AG94" s="18">
        <f t="shared" si="1"/>
        <v>-1.6413009864575834</v>
      </c>
    </row>
    <row r="95" spans="1:33" x14ac:dyDescent="0.2">
      <c r="A95" s="18" t="s">
        <v>179</v>
      </c>
      <c r="B95" s="18" t="s">
        <v>90</v>
      </c>
      <c r="C95" s="18">
        <v>0.179055106617899</v>
      </c>
      <c r="D95" s="18">
        <v>1.4308880495101199E-3</v>
      </c>
      <c r="E95" s="19">
        <v>1061.6326135414499</v>
      </c>
      <c r="F95" s="19">
        <v>7.82097704708662</v>
      </c>
      <c r="G95" s="18">
        <v>1.86227052227394</v>
      </c>
      <c r="H95" s="18">
        <v>4.6351732348931099E-2</v>
      </c>
      <c r="I95" s="19">
        <v>1062.7877309216601</v>
      </c>
      <c r="J95" s="19">
        <v>16.485869424651401</v>
      </c>
      <c r="K95" s="18">
        <v>5.42838686454497E-2</v>
      </c>
      <c r="L95" s="18">
        <v>1.86511956878319E-3</v>
      </c>
      <c r="M95" s="18">
        <v>1067.26974114528</v>
      </c>
      <c r="N95" s="18">
        <v>35.707356643083997</v>
      </c>
      <c r="O95" s="18">
        <v>7.5829306631222504E-2</v>
      </c>
      <c r="P95" s="18">
        <v>1.8595621333454E-3</v>
      </c>
      <c r="Q95" s="19">
        <v>1059.2612675759101</v>
      </c>
      <c r="R95" s="19">
        <v>50.7474253348378</v>
      </c>
      <c r="S95" s="18">
        <v>5.5839446225995397</v>
      </c>
      <c r="T95" s="18">
        <v>4.4645340700968497E-2</v>
      </c>
      <c r="U95" s="18">
        <v>2.68130577224222</v>
      </c>
      <c r="V95" s="18">
        <v>3.2400433006014098E-2</v>
      </c>
      <c r="W95" s="18">
        <v>80.085610281772304</v>
      </c>
      <c r="X95" s="18">
        <v>1.43965390219909</v>
      </c>
      <c r="Y95" s="18">
        <v>29.971358531490999</v>
      </c>
      <c r="Z95" s="18">
        <v>0.56197738732844404</v>
      </c>
      <c r="AA95" s="18">
        <v>15.083847782720399</v>
      </c>
      <c r="AB95" s="18">
        <v>0.51635325626931095</v>
      </c>
      <c r="AD95" s="18">
        <v>0.17498630451386099</v>
      </c>
      <c r="AE95" s="18">
        <v>0.24716312345913599</v>
      </c>
      <c r="AG95" s="18">
        <f t="shared" si="1"/>
        <v>-0.22386790097277398</v>
      </c>
    </row>
    <row r="96" spans="1:33" x14ac:dyDescent="0.2">
      <c r="A96" s="18" t="s">
        <v>180</v>
      </c>
      <c r="B96" s="18" t="s">
        <v>90</v>
      </c>
      <c r="C96" s="18">
        <v>0.17964753301140299</v>
      </c>
      <c r="D96" s="18">
        <v>1.43141225482673E-3</v>
      </c>
      <c r="E96" s="19">
        <v>1064.8699488047</v>
      </c>
      <c r="F96" s="19">
        <v>7.8121321210440797</v>
      </c>
      <c r="G96" s="18">
        <v>1.83630506257904</v>
      </c>
      <c r="H96" s="18">
        <v>3.9355470482286499E-2</v>
      </c>
      <c r="I96" s="19">
        <v>1056.57195675405</v>
      </c>
      <c r="J96" s="19">
        <v>13.8028389150907</v>
      </c>
      <c r="K96" s="18">
        <v>5.28153438699989E-2</v>
      </c>
      <c r="L96" s="18">
        <v>1.5344174769532999E-3</v>
      </c>
      <c r="M96" s="18">
        <v>1039.47048940172</v>
      </c>
      <c r="N96" s="18">
        <v>29.436565599498199</v>
      </c>
      <c r="O96" s="18">
        <v>7.4453145070697002E-2</v>
      </c>
      <c r="P96" s="18">
        <v>1.5993431045545699E-3</v>
      </c>
      <c r="Q96" s="19">
        <v>1029.16850467787</v>
      </c>
      <c r="R96" s="19">
        <v>44.668348410579597</v>
      </c>
      <c r="S96" s="18">
        <v>5.5687452049477599</v>
      </c>
      <c r="T96" s="18">
        <v>4.3873545561282402E-2</v>
      </c>
      <c r="U96" s="18">
        <v>2.65671131870943</v>
      </c>
      <c r="V96" s="18">
        <v>2.4766639703747199E-2</v>
      </c>
      <c r="W96" s="18">
        <v>79.484981374551197</v>
      </c>
      <c r="X96" s="18">
        <v>1.2515504012809899</v>
      </c>
      <c r="Y96" s="18">
        <v>29.927568657431301</v>
      </c>
      <c r="Z96" s="18">
        <v>0.4622666320571</v>
      </c>
      <c r="AA96" s="18">
        <v>14.674951283216901</v>
      </c>
      <c r="AB96" s="18">
        <v>0.456947072131905</v>
      </c>
      <c r="AD96" s="18">
        <v>0.201118524735207</v>
      </c>
      <c r="AE96" s="18">
        <v>0.188810333511614</v>
      </c>
      <c r="AG96" s="18">
        <f t="shared" si="1"/>
        <v>-3.4689600356556438</v>
      </c>
    </row>
    <row r="97" spans="1:33" x14ac:dyDescent="0.2">
      <c r="A97" s="18" t="s">
        <v>181</v>
      </c>
      <c r="B97" s="18" t="s">
        <v>90</v>
      </c>
      <c r="C97" s="18">
        <v>0.178934362854792</v>
      </c>
      <c r="D97" s="18">
        <v>1.44257074744244E-3</v>
      </c>
      <c r="E97" s="19">
        <v>1060.96859482068</v>
      </c>
      <c r="F97" s="19">
        <v>7.8747839823452601</v>
      </c>
      <c r="G97" s="18">
        <v>1.8506921599314601</v>
      </c>
      <c r="H97" s="18">
        <v>3.9669879717875903E-2</v>
      </c>
      <c r="I97" s="19">
        <v>1061.61684854439</v>
      </c>
      <c r="J97" s="19">
        <v>14.4999402581605</v>
      </c>
      <c r="K97" s="18">
        <v>5.52240458342632E-2</v>
      </c>
      <c r="L97" s="18">
        <v>1.5950106057198499E-3</v>
      </c>
      <c r="M97" s="18">
        <v>1085.5983195215199</v>
      </c>
      <c r="N97" s="18">
        <v>30.556470855314899</v>
      </c>
      <c r="O97" s="18">
        <v>7.5498785014482303E-2</v>
      </c>
      <c r="P97" s="18">
        <v>1.70355972783906E-3</v>
      </c>
      <c r="Q97" s="19">
        <v>1061.53592236585</v>
      </c>
      <c r="R97" s="19">
        <v>44.582062216738898</v>
      </c>
      <c r="S97" s="18">
        <v>5.5856538290792104</v>
      </c>
      <c r="T97" s="18">
        <v>4.5662003785187602E-2</v>
      </c>
      <c r="U97" s="18">
        <v>2.67669404666725</v>
      </c>
      <c r="V97" s="18">
        <v>2.49412362420477E-2</v>
      </c>
      <c r="W97" s="18">
        <v>80.640409224092807</v>
      </c>
      <c r="X97" s="18">
        <v>1.3177464358279301</v>
      </c>
      <c r="Y97" s="18">
        <v>30.113386765551098</v>
      </c>
      <c r="Z97" s="18">
        <v>0.51824216192025396</v>
      </c>
      <c r="AA97" s="18">
        <v>15.3686525392452</v>
      </c>
      <c r="AB97" s="18">
        <v>0.47316339417943498</v>
      </c>
      <c r="AD97" s="18">
        <v>0.25309773679099401</v>
      </c>
      <c r="AE97" s="18">
        <v>0.13078728267957199</v>
      </c>
      <c r="AG97" s="18">
        <f t="shared" si="1"/>
        <v>5.3444027019411422E-2</v>
      </c>
    </row>
    <row r="98" spans="1:33" x14ac:dyDescent="0.2">
      <c r="A98" s="18" t="s">
        <v>182</v>
      </c>
      <c r="B98" s="18" t="s">
        <v>90</v>
      </c>
      <c r="C98" s="18">
        <v>0.180398349064845</v>
      </c>
      <c r="D98" s="18">
        <v>1.5629433761938801E-3</v>
      </c>
      <c r="E98" s="19">
        <v>1068.93744875782</v>
      </c>
      <c r="F98" s="19">
        <v>8.5267033846982194</v>
      </c>
      <c r="G98" s="18">
        <v>1.88094440178575</v>
      </c>
      <c r="H98" s="18">
        <v>4.59380452731811E-2</v>
      </c>
      <c r="I98" s="19">
        <v>1069.56330105804</v>
      </c>
      <c r="J98" s="19">
        <v>16.101263840437099</v>
      </c>
      <c r="K98" s="18">
        <v>5.4330944500551002E-2</v>
      </c>
      <c r="L98" s="18">
        <v>1.82749779856755E-3</v>
      </c>
      <c r="M98" s="18">
        <v>1068.2101455668301</v>
      </c>
      <c r="N98" s="18">
        <v>35.027661321278899</v>
      </c>
      <c r="O98" s="18">
        <v>7.6131847523023502E-2</v>
      </c>
      <c r="P98" s="18">
        <v>1.91270675654584E-3</v>
      </c>
      <c r="Q98" s="19">
        <v>1078.98266798793</v>
      </c>
      <c r="R98" s="19">
        <v>50.531104401479702</v>
      </c>
      <c r="S98" s="18">
        <v>5.5492748543454802</v>
      </c>
      <c r="T98" s="18">
        <v>4.78442621166267E-2</v>
      </c>
      <c r="U98" s="18">
        <v>2.6589116605638199</v>
      </c>
      <c r="V98" s="18">
        <v>2.7243134198664601E-2</v>
      </c>
      <c r="W98" s="18">
        <v>79.6911212999631</v>
      </c>
      <c r="X98" s="18">
        <v>1.22982787042376</v>
      </c>
      <c r="Y98" s="18">
        <v>29.901417909697098</v>
      </c>
      <c r="Z98" s="18">
        <v>0.52775767356203496</v>
      </c>
      <c r="AA98" s="18">
        <v>14.887615177475199</v>
      </c>
      <c r="AB98" s="18">
        <v>0.52319896723120296</v>
      </c>
      <c r="AD98" s="18">
        <v>0.21076825206557301</v>
      </c>
      <c r="AE98" s="18">
        <v>0.140143196223005</v>
      </c>
      <c r="AG98" s="18">
        <f t="shared" si="1"/>
        <v>0.93098985999859885</v>
      </c>
    </row>
    <row r="99" spans="1:33" x14ac:dyDescent="0.2">
      <c r="A99" s="18" t="s">
        <v>183</v>
      </c>
      <c r="B99" s="18" t="s">
        <v>90</v>
      </c>
      <c r="C99" s="18">
        <v>0.17884753377805801</v>
      </c>
      <c r="D99" s="18">
        <v>1.4567523008003299E-3</v>
      </c>
      <c r="E99" s="19">
        <v>1060.49025872531</v>
      </c>
      <c r="F99" s="19">
        <v>7.9496320963510199</v>
      </c>
      <c r="G99" s="18">
        <v>1.82985323075991</v>
      </c>
      <c r="H99" s="18">
        <v>4.12374239587779E-2</v>
      </c>
      <c r="I99" s="19">
        <v>1052.20489271983</v>
      </c>
      <c r="J99" s="19">
        <v>14.6788339815597</v>
      </c>
      <c r="K99" s="18">
        <v>5.4128529124972603E-2</v>
      </c>
      <c r="L99" s="18">
        <v>1.6708407187779001E-3</v>
      </c>
      <c r="M99" s="18">
        <v>1064.5166817731499</v>
      </c>
      <c r="N99" s="18">
        <v>32.039129720621702</v>
      </c>
      <c r="O99" s="18">
        <v>7.4549489398366406E-2</v>
      </c>
      <c r="P99" s="18">
        <v>1.7083123407624699E-3</v>
      </c>
      <c r="Q99" s="19">
        <v>1034.3920340260499</v>
      </c>
      <c r="R99" s="19">
        <v>47.6849089727611</v>
      </c>
      <c r="S99" s="18">
        <v>5.5953414139803899</v>
      </c>
      <c r="T99" s="18">
        <v>4.4615344362236999E-2</v>
      </c>
      <c r="U99" s="18">
        <v>2.67432368798729</v>
      </c>
      <c r="V99" s="18">
        <v>2.5276729667434501E-2</v>
      </c>
      <c r="W99" s="18">
        <v>80.018448366869606</v>
      </c>
      <c r="X99" s="18">
        <v>1.13014158604655</v>
      </c>
      <c r="Y99" s="18">
        <v>29.988089662038501</v>
      </c>
      <c r="Z99" s="18">
        <v>0.45802518961851402</v>
      </c>
      <c r="AA99" s="18">
        <v>15.159541669375299</v>
      </c>
      <c r="AB99" s="18">
        <v>0.50780871504675695</v>
      </c>
      <c r="AD99" s="18">
        <v>0.308037568324037</v>
      </c>
      <c r="AE99" s="18">
        <v>3.6973696853896697E-2</v>
      </c>
      <c r="AG99" s="18">
        <f t="shared" si="1"/>
        <v>-2.5230496601642338</v>
      </c>
    </row>
    <row r="100" spans="1:33" x14ac:dyDescent="0.2">
      <c r="A100" s="18" t="s">
        <v>184</v>
      </c>
      <c r="B100" s="18" t="s">
        <v>90</v>
      </c>
      <c r="C100" s="18">
        <v>0.17777138408967699</v>
      </c>
      <c r="D100" s="18">
        <v>1.44082784191071E-3</v>
      </c>
      <c r="E100" s="19">
        <v>1054.60583824318</v>
      </c>
      <c r="F100" s="19">
        <v>7.8902496857350304</v>
      </c>
      <c r="G100" s="18">
        <v>1.81480645124129</v>
      </c>
      <c r="H100" s="18">
        <v>4.3522624163081197E-2</v>
      </c>
      <c r="I100" s="19">
        <v>1050.0530491105601</v>
      </c>
      <c r="J100" s="19">
        <v>16.4808825161819</v>
      </c>
      <c r="K100" s="18">
        <v>5.2601370771370302E-2</v>
      </c>
      <c r="L100" s="18">
        <v>1.6366913871742701E-3</v>
      </c>
      <c r="M100" s="18">
        <v>1035.2504413415199</v>
      </c>
      <c r="N100" s="18">
        <v>31.401425907869001</v>
      </c>
      <c r="O100" s="18">
        <v>7.4829299459911597E-2</v>
      </c>
      <c r="P100" s="18">
        <v>1.8956234445622301E-3</v>
      </c>
      <c r="Q100" s="19">
        <v>1030.52165246769</v>
      </c>
      <c r="R100" s="19">
        <v>52.211618274888401</v>
      </c>
      <c r="S100" s="18">
        <v>5.6162877438178702</v>
      </c>
      <c r="T100" s="18">
        <v>4.5860312421776801E-2</v>
      </c>
      <c r="U100" s="18">
        <v>2.6657178685685499</v>
      </c>
      <c r="V100" s="18">
        <v>2.5555176932156899E-2</v>
      </c>
      <c r="W100" s="18">
        <v>80.204659230000402</v>
      </c>
      <c r="X100" s="18">
        <v>1.0767681512402001</v>
      </c>
      <c r="Y100" s="18">
        <v>30.061152072630701</v>
      </c>
      <c r="Z100" s="18">
        <v>0.41692322154011902</v>
      </c>
      <c r="AA100" s="18">
        <v>14.9169575505704</v>
      </c>
      <c r="AB100" s="18">
        <v>0.52281857903146001</v>
      </c>
      <c r="AD100" s="18">
        <v>0.21518756299282499</v>
      </c>
      <c r="AE100" s="18">
        <v>0.16623201738700799</v>
      </c>
      <c r="AG100" s="18">
        <f t="shared" si="1"/>
        <v>-2.3370868256691102</v>
      </c>
    </row>
    <row r="101" spans="1:33" x14ac:dyDescent="0.2">
      <c r="A101" s="18" t="s">
        <v>185</v>
      </c>
      <c r="B101" s="18" t="s">
        <v>90</v>
      </c>
      <c r="C101" s="18">
        <v>0.179767094728909</v>
      </c>
      <c r="D101" s="18">
        <v>1.35925342286847E-3</v>
      </c>
      <c r="E101" s="19">
        <v>1065.54175453533</v>
      </c>
      <c r="F101" s="19">
        <v>7.4244759997858303</v>
      </c>
      <c r="G101" s="18">
        <v>1.8531143476391001</v>
      </c>
      <c r="H101" s="18">
        <v>4.4679727884512799E-2</v>
      </c>
      <c r="I101" s="19">
        <v>1059.8053077535201</v>
      </c>
      <c r="J101" s="19">
        <v>16.081356449764201</v>
      </c>
      <c r="K101" s="18">
        <v>5.2927049870972E-2</v>
      </c>
      <c r="L101" s="18">
        <v>1.71908707632249E-3</v>
      </c>
      <c r="M101" s="18">
        <v>1041.41548560715</v>
      </c>
      <c r="N101" s="18">
        <v>32.970988666414002</v>
      </c>
      <c r="O101" s="18">
        <v>7.4705300223936094E-2</v>
      </c>
      <c r="P101" s="18">
        <v>1.84156844115514E-3</v>
      </c>
      <c r="Q101" s="19">
        <v>1039.5644756936099</v>
      </c>
      <c r="R101" s="19">
        <v>51.919048677822303</v>
      </c>
      <c r="S101" s="18">
        <v>5.5646112844245001</v>
      </c>
      <c r="T101" s="18">
        <v>4.2094087784781298E-2</v>
      </c>
      <c r="U101" s="18">
        <v>2.6612211063872899</v>
      </c>
      <c r="V101" s="18">
        <v>2.6718642469102799E-2</v>
      </c>
      <c r="W101" s="18">
        <v>79.982504938368706</v>
      </c>
      <c r="X101" s="18">
        <v>0.83260879429832602</v>
      </c>
      <c r="Y101" s="18">
        <v>30.0527592538131</v>
      </c>
      <c r="Z101" s="18">
        <v>0.41833405345606101</v>
      </c>
      <c r="AA101" s="18">
        <v>14.8823468329919</v>
      </c>
      <c r="AB101" s="18">
        <v>0.45106674828675802</v>
      </c>
      <c r="AD101" s="18">
        <v>0.31492634178791801</v>
      </c>
      <c r="AE101" s="18">
        <v>-1.4018447452806299E-2</v>
      </c>
      <c r="AG101" s="18">
        <f t="shared" si="1"/>
        <v>-2.4988617299939841</v>
      </c>
    </row>
    <row r="102" spans="1:33" x14ac:dyDescent="0.2">
      <c r="A102" s="18" t="s">
        <v>186</v>
      </c>
      <c r="B102" s="18" t="s">
        <v>90</v>
      </c>
      <c r="C102" s="18">
        <v>0.17873658905973899</v>
      </c>
      <c r="D102" s="18">
        <v>1.50853102393769E-3</v>
      </c>
      <c r="E102" s="19">
        <v>1059.87099552521</v>
      </c>
      <c r="F102" s="19">
        <v>8.2462753778756106</v>
      </c>
      <c r="G102" s="18">
        <v>1.87583811183509</v>
      </c>
      <c r="H102" s="18">
        <v>4.0375832858553902E-2</v>
      </c>
      <c r="I102" s="19">
        <v>1068.8415587811401</v>
      </c>
      <c r="J102" s="19">
        <v>14.2654114039617</v>
      </c>
      <c r="K102" s="18">
        <v>5.4853064996912303E-2</v>
      </c>
      <c r="L102" s="18">
        <v>1.73911546120229E-3</v>
      </c>
      <c r="M102" s="18">
        <v>1078.3342022808699</v>
      </c>
      <c r="N102" s="18">
        <v>33.291743250547803</v>
      </c>
      <c r="O102" s="18">
        <v>7.6129203651849706E-2</v>
      </c>
      <c r="P102" s="18">
        <v>1.6428456065727701E-3</v>
      </c>
      <c r="Q102" s="19">
        <v>1074.4906336824499</v>
      </c>
      <c r="R102" s="19">
        <v>43.947672891668297</v>
      </c>
      <c r="S102" s="18">
        <v>5.5996428784228502</v>
      </c>
      <c r="T102" s="18">
        <v>4.7265282926950598E-2</v>
      </c>
      <c r="U102" s="18">
        <v>2.6723406623428199</v>
      </c>
      <c r="V102" s="18">
        <v>2.7741188049727101E-2</v>
      </c>
      <c r="W102" s="18">
        <v>80.243072812228405</v>
      </c>
      <c r="X102" s="18">
        <v>0.84061080595422999</v>
      </c>
      <c r="Y102" s="18">
        <v>30.035318576407601</v>
      </c>
      <c r="Z102" s="18">
        <v>0.39261771543086399</v>
      </c>
      <c r="AA102" s="18">
        <v>15.316868982461701</v>
      </c>
      <c r="AB102" s="18">
        <v>0.47989893882513002</v>
      </c>
      <c r="AD102" s="18">
        <v>0.22482853857592699</v>
      </c>
      <c r="AE102" s="18">
        <v>0.190819181549539</v>
      </c>
      <c r="AG102" s="18">
        <f t="shared" si="1"/>
        <v>1.3606110373560076</v>
      </c>
    </row>
    <row r="103" spans="1:33" x14ac:dyDescent="0.2">
      <c r="A103" s="18" t="s">
        <v>187</v>
      </c>
      <c r="B103" s="18" t="s">
        <v>90</v>
      </c>
      <c r="C103" s="18">
        <v>0.179556720967499</v>
      </c>
      <c r="D103" s="18">
        <v>1.35317664887993E-3</v>
      </c>
      <c r="E103" s="19">
        <v>1064.39264744241</v>
      </c>
      <c r="F103" s="19">
        <v>7.3866604760177097</v>
      </c>
      <c r="G103" s="18">
        <v>1.8700339149912699</v>
      </c>
      <c r="H103" s="18">
        <v>3.73393787030546E-2</v>
      </c>
      <c r="I103" s="19">
        <v>1067.2861801434101</v>
      </c>
      <c r="J103" s="19">
        <v>13.2581934228458</v>
      </c>
      <c r="K103" s="18">
        <v>5.4357164850573403E-2</v>
      </c>
      <c r="L103" s="18">
        <v>1.8570366052291401E-3</v>
      </c>
      <c r="M103" s="18">
        <v>1068.6760625398899</v>
      </c>
      <c r="N103" s="18">
        <v>35.5805532510566</v>
      </c>
      <c r="O103" s="18">
        <v>7.5355205024355498E-2</v>
      </c>
      <c r="P103" s="18">
        <v>1.56612946989258E-3</v>
      </c>
      <c r="Q103" s="19">
        <v>1055.50880508451</v>
      </c>
      <c r="R103" s="19">
        <v>42.3488711773769</v>
      </c>
      <c r="S103" s="18">
        <v>5.5653016742754504</v>
      </c>
      <c r="T103" s="18">
        <v>4.3014421287379402E-2</v>
      </c>
      <c r="U103" s="18">
        <v>2.6667128212557198</v>
      </c>
      <c r="V103" s="18">
        <v>2.7203114610731199E-2</v>
      </c>
      <c r="W103" s="18">
        <v>79.754715352381396</v>
      </c>
      <c r="X103" s="18">
        <v>0.83716430597925695</v>
      </c>
      <c r="Y103" s="18">
        <v>29.904207706984302</v>
      </c>
      <c r="Z103" s="18">
        <v>0.41251385196065599</v>
      </c>
      <c r="AA103" s="18">
        <v>14.794542520566701</v>
      </c>
      <c r="AB103" s="18">
        <v>0.518383255849583</v>
      </c>
      <c r="AD103" s="18">
        <v>0.29359515973792799</v>
      </c>
      <c r="AE103" s="18">
        <v>0.15061543252578999</v>
      </c>
      <c r="AG103" s="18">
        <f t="shared" si="1"/>
        <v>-0.84166444799944617</v>
      </c>
    </row>
    <row r="104" spans="1:33" x14ac:dyDescent="0.2">
      <c r="A104" s="18" t="s">
        <v>188</v>
      </c>
      <c r="B104" s="18" t="s">
        <v>90</v>
      </c>
      <c r="C104" s="18">
        <v>0.18004134056096299</v>
      </c>
      <c r="D104" s="18">
        <v>1.48346243458775E-3</v>
      </c>
      <c r="E104" s="19">
        <v>1067.00840969822</v>
      </c>
      <c r="F104" s="19">
        <v>8.09679967227693</v>
      </c>
      <c r="G104" s="18">
        <v>1.83670637063437</v>
      </c>
      <c r="H104" s="18">
        <v>4.2916536444970503E-2</v>
      </c>
      <c r="I104" s="19">
        <v>1054.37848649333</v>
      </c>
      <c r="J104" s="19">
        <v>15.1625194203588</v>
      </c>
      <c r="K104" s="18">
        <v>5.4423048783025799E-2</v>
      </c>
      <c r="L104" s="18">
        <v>2.0288990880782802E-3</v>
      </c>
      <c r="M104" s="18">
        <v>1069.7132904549001</v>
      </c>
      <c r="N104" s="18">
        <v>38.808268469775598</v>
      </c>
      <c r="O104" s="18">
        <v>7.35321727272297E-2</v>
      </c>
      <c r="P104" s="18">
        <v>1.67560176246359E-3</v>
      </c>
      <c r="Q104" s="19">
        <v>1012.07414745438</v>
      </c>
      <c r="R104" s="19">
        <v>48.526732813324998</v>
      </c>
      <c r="S104" s="18">
        <v>5.5565974213884601</v>
      </c>
      <c r="T104" s="18">
        <v>4.55871197572024E-2</v>
      </c>
      <c r="U104" s="18">
        <v>2.6584334540271399</v>
      </c>
      <c r="V104" s="18">
        <v>2.7203475724124199E-2</v>
      </c>
      <c r="W104" s="18">
        <v>79.755541184162794</v>
      </c>
      <c r="X104" s="18">
        <v>1.0999137739253</v>
      </c>
      <c r="Y104" s="18">
        <v>29.904812235896198</v>
      </c>
      <c r="Z104" s="18">
        <v>0.46409920820744899</v>
      </c>
      <c r="AA104" s="18">
        <v>15.0083027976909</v>
      </c>
      <c r="AB104" s="18">
        <v>0.56288360815393002</v>
      </c>
      <c r="AD104" s="18">
        <v>0.203602775714461</v>
      </c>
      <c r="AE104" s="18">
        <v>0.17261548510656999</v>
      </c>
      <c r="AG104" s="18">
        <f t="shared" si="1"/>
        <v>-5.4278890911316546</v>
      </c>
    </row>
    <row r="105" spans="1:33" x14ac:dyDescent="0.2">
      <c r="A105" s="18" t="s">
        <v>189</v>
      </c>
      <c r="B105" s="18" t="s">
        <v>90</v>
      </c>
      <c r="C105" s="18">
        <v>0.178905248489548</v>
      </c>
      <c r="D105" s="18">
        <v>1.4611686405446799E-3</v>
      </c>
      <c r="E105" s="19">
        <v>1060.8042127374899</v>
      </c>
      <c r="F105" s="19">
        <v>7.9908762567553104</v>
      </c>
      <c r="G105" s="18">
        <v>1.8679410269981001</v>
      </c>
      <c r="H105" s="18">
        <v>4.9453838052496299E-2</v>
      </c>
      <c r="I105" s="19">
        <v>1066.2629082608701</v>
      </c>
      <c r="J105" s="19">
        <v>17.5716855788468</v>
      </c>
      <c r="K105" s="18">
        <v>5.4034063677834698E-2</v>
      </c>
      <c r="L105" s="18">
        <v>1.7517548881131201E-3</v>
      </c>
      <c r="M105" s="18">
        <v>1062.60914188532</v>
      </c>
      <c r="N105" s="18">
        <v>33.615599031158801</v>
      </c>
      <c r="O105" s="18">
        <v>7.5477367896181202E-2</v>
      </c>
      <c r="P105" s="18">
        <v>1.9667809455637601E-3</v>
      </c>
      <c r="Q105" s="19">
        <v>1052.70510048391</v>
      </c>
      <c r="R105" s="19">
        <v>53.330631583208202</v>
      </c>
      <c r="S105" s="18">
        <v>5.5864925410767503</v>
      </c>
      <c r="T105" s="18">
        <v>4.7016919195577801E-2</v>
      </c>
      <c r="U105" s="18">
        <v>2.6817107616646698</v>
      </c>
      <c r="V105" s="18">
        <v>2.5611954007667501E-2</v>
      </c>
      <c r="W105" s="18">
        <v>80.512129977086403</v>
      </c>
      <c r="X105" s="18">
        <v>1.2029246722622899</v>
      </c>
      <c r="Y105" s="18">
        <v>30.051827912858801</v>
      </c>
      <c r="Z105" s="18">
        <v>0.50076791668845999</v>
      </c>
      <c r="AA105" s="18">
        <v>15.0524698808204</v>
      </c>
      <c r="AB105" s="18">
        <v>0.51436129329594005</v>
      </c>
      <c r="AD105" s="18">
        <v>0.14849021904428</v>
      </c>
      <c r="AE105" s="18">
        <v>0.16833484831545101</v>
      </c>
      <c r="AG105" s="18">
        <f t="shared" si="1"/>
        <v>-0.76936192765257871</v>
      </c>
    </row>
    <row r="106" spans="1:33" x14ac:dyDescent="0.2">
      <c r="A106" s="18" t="s">
        <v>190</v>
      </c>
      <c r="B106" s="18" t="s">
        <v>90</v>
      </c>
      <c r="C106" s="18">
        <v>0.178403985764922</v>
      </c>
      <c r="D106" s="18">
        <v>1.48962111105672E-3</v>
      </c>
      <c r="E106" s="19">
        <v>1058.05499674359</v>
      </c>
      <c r="F106" s="19">
        <v>8.1544738016610996</v>
      </c>
      <c r="G106" s="18">
        <v>1.8367656310543301</v>
      </c>
      <c r="H106" s="18">
        <v>3.9567378574223398E-2</v>
      </c>
      <c r="I106" s="19">
        <v>1055.0039976735</v>
      </c>
      <c r="J106" s="19">
        <v>14.0908043311049</v>
      </c>
      <c r="K106" s="18">
        <v>5.3000902762759899E-2</v>
      </c>
      <c r="L106" s="18">
        <v>1.5610975909457799E-3</v>
      </c>
      <c r="M106" s="18">
        <v>1043.0034401047201</v>
      </c>
      <c r="N106" s="18">
        <v>29.971929655092001</v>
      </c>
      <c r="O106" s="18">
        <v>7.4422107799097706E-2</v>
      </c>
      <c r="P106" s="18">
        <v>1.59444575276121E-3</v>
      </c>
      <c r="Q106" s="19">
        <v>1029.0807113512701</v>
      </c>
      <c r="R106" s="19">
        <v>43.637091177049001</v>
      </c>
      <c r="S106" s="18">
        <v>5.6080780851349097</v>
      </c>
      <c r="T106" s="18">
        <v>4.7560640939386702E-2</v>
      </c>
      <c r="U106" s="18">
        <v>2.6572147984904699</v>
      </c>
      <c r="V106" s="18">
        <v>2.7546962566653899E-2</v>
      </c>
      <c r="W106" s="18">
        <v>79.707070928482693</v>
      </c>
      <c r="X106" s="18">
        <v>1.48816499679185</v>
      </c>
      <c r="Y106" s="18">
        <v>29.999920030457702</v>
      </c>
      <c r="Z106" s="18">
        <v>0.56860542054875296</v>
      </c>
      <c r="AA106" s="18">
        <v>14.9388785548936</v>
      </c>
      <c r="AB106" s="18">
        <v>0.46052052504741597</v>
      </c>
      <c r="AD106" s="18">
        <v>0.18940070576090801</v>
      </c>
      <c r="AE106" s="18">
        <v>0.210337141013066</v>
      </c>
      <c r="AG106" s="18">
        <f t="shared" si="1"/>
        <v>-2.8155503327114362</v>
      </c>
    </row>
    <row r="107" spans="1:33" x14ac:dyDescent="0.2">
      <c r="A107" s="18" t="s">
        <v>191</v>
      </c>
      <c r="B107" s="18" t="s">
        <v>90</v>
      </c>
      <c r="C107" s="18">
        <v>0.17850679344328099</v>
      </c>
      <c r="D107" s="18">
        <v>1.46848842617184E-3</v>
      </c>
      <c r="E107" s="19">
        <v>1058.6233891920899</v>
      </c>
      <c r="F107" s="19">
        <v>8.0222595171444606</v>
      </c>
      <c r="G107" s="18">
        <v>1.82522292186357</v>
      </c>
      <c r="H107" s="18">
        <v>3.7833843730646598E-2</v>
      </c>
      <c r="I107" s="19">
        <v>1052.63975113467</v>
      </c>
      <c r="J107" s="19">
        <v>14.040209238087799</v>
      </c>
      <c r="K107" s="18">
        <v>5.3107828240962801E-2</v>
      </c>
      <c r="L107" s="18">
        <v>1.8967236528059301E-3</v>
      </c>
      <c r="M107" s="18">
        <v>1044.65790150164</v>
      </c>
      <c r="N107" s="18">
        <v>36.382427411698799</v>
      </c>
      <c r="O107" s="18">
        <v>7.4026708554294302E-2</v>
      </c>
      <c r="P107" s="18">
        <v>1.6763417997506299E-3</v>
      </c>
      <c r="Q107" s="19">
        <v>1021.21582908006</v>
      </c>
      <c r="R107" s="19">
        <v>45.608675344053097</v>
      </c>
      <c r="S107" s="18">
        <v>5.6037023296570503</v>
      </c>
      <c r="T107" s="18">
        <v>4.5595961205374798E-2</v>
      </c>
      <c r="U107" s="18">
        <v>2.6629840353302701</v>
      </c>
      <c r="V107" s="18">
        <v>2.8195712238106699E-2</v>
      </c>
      <c r="W107" s="18">
        <v>80.745924547768297</v>
      </c>
      <c r="X107" s="18">
        <v>2.13457341527165</v>
      </c>
      <c r="Y107" s="18">
        <v>30.373613686698398</v>
      </c>
      <c r="Z107" s="18">
        <v>0.776685188003572</v>
      </c>
      <c r="AA107" s="18">
        <v>14.9907457179721</v>
      </c>
      <c r="AB107" s="18">
        <v>0.60721228993827703</v>
      </c>
      <c r="AD107" s="18">
        <v>0.34990341427475402</v>
      </c>
      <c r="AE107" s="18">
        <v>6.7960847516748302E-2</v>
      </c>
      <c r="AG107" s="18">
        <f t="shared" si="1"/>
        <v>-3.6630415478114742</v>
      </c>
    </row>
    <row r="108" spans="1:33" x14ac:dyDescent="0.2">
      <c r="A108" s="18" t="s">
        <v>192</v>
      </c>
      <c r="B108" s="18" t="s">
        <v>90</v>
      </c>
      <c r="C108" s="18">
        <v>0.17977906862479501</v>
      </c>
      <c r="D108" s="18">
        <v>1.38496602365743E-3</v>
      </c>
      <c r="E108" s="19">
        <v>1065.59981066606</v>
      </c>
      <c r="F108" s="19">
        <v>7.5700596431497402</v>
      </c>
      <c r="G108" s="18">
        <v>1.8523473675198501</v>
      </c>
      <c r="H108" s="18">
        <v>4.1798267439758702E-2</v>
      </c>
      <c r="I108" s="19">
        <v>1061.86308073851</v>
      </c>
      <c r="J108" s="19">
        <v>15.372619783943801</v>
      </c>
      <c r="K108" s="18">
        <v>5.54130255280273E-2</v>
      </c>
      <c r="L108" s="18">
        <v>1.8839742094203301E-3</v>
      </c>
      <c r="M108" s="18">
        <v>1088.8785430635301</v>
      </c>
      <c r="N108" s="18">
        <v>35.9788179582429</v>
      </c>
      <c r="O108" s="18">
        <v>7.4213697332844594E-2</v>
      </c>
      <c r="P108" s="18">
        <v>1.68412350905167E-3</v>
      </c>
      <c r="Q108" s="19">
        <v>1031.6702759944301</v>
      </c>
      <c r="R108" s="19">
        <v>46.948721604829899</v>
      </c>
      <c r="S108" s="18">
        <v>5.5626355611001603</v>
      </c>
      <c r="T108" s="18">
        <v>4.3241169532874497E-2</v>
      </c>
      <c r="U108" s="18">
        <v>2.6822619532777301</v>
      </c>
      <c r="V108" s="18">
        <v>2.90862430318274E-2</v>
      </c>
      <c r="W108" s="18">
        <v>79.993456138739205</v>
      </c>
      <c r="X108" s="18">
        <v>1.3875245215543699</v>
      </c>
      <c r="Y108" s="18">
        <v>29.832305908415599</v>
      </c>
      <c r="Z108" s="18">
        <v>0.58085420153713097</v>
      </c>
      <c r="AA108" s="18">
        <v>15.3946287674305</v>
      </c>
      <c r="AB108" s="18">
        <v>0.55173888397314597</v>
      </c>
      <c r="AD108" s="18">
        <v>0.22477799057551001</v>
      </c>
      <c r="AE108" s="18">
        <v>0.153103971673864</v>
      </c>
      <c r="AG108" s="18">
        <f t="shared" si="1"/>
        <v>-3.2887963781766505</v>
      </c>
    </row>
    <row r="109" spans="1:33" x14ac:dyDescent="0.2">
      <c r="A109" s="18" t="s">
        <v>193</v>
      </c>
      <c r="B109" s="18" t="s">
        <v>90</v>
      </c>
      <c r="C109" s="18">
        <v>0.17908424287872299</v>
      </c>
      <c r="D109" s="18">
        <v>1.5391726842893399E-3</v>
      </c>
      <c r="E109" s="19">
        <v>1061.7629580759501</v>
      </c>
      <c r="F109" s="19">
        <v>8.4017593721990202</v>
      </c>
      <c r="G109" s="18">
        <v>1.86976898003291</v>
      </c>
      <c r="H109" s="18">
        <v>4.3770613232579199E-2</v>
      </c>
      <c r="I109" s="19">
        <v>1067.7884204989</v>
      </c>
      <c r="J109" s="19">
        <v>15.9185721955378</v>
      </c>
      <c r="K109" s="18">
        <v>5.26359502230003E-2</v>
      </c>
      <c r="L109" s="18">
        <v>1.6398468505005399E-3</v>
      </c>
      <c r="M109" s="18">
        <v>1035.9109691211499</v>
      </c>
      <c r="N109" s="18">
        <v>31.459188494513999</v>
      </c>
      <c r="O109" s="18">
        <v>7.5693120292408905E-2</v>
      </c>
      <c r="P109" s="18">
        <v>1.83440479303997E-3</v>
      </c>
      <c r="Q109" s="19">
        <v>1063.83504931221</v>
      </c>
      <c r="R109" s="19">
        <v>47.767861263147999</v>
      </c>
      <c r="S109" s="18">
        <v>5.5810076898849399</v>
      </c>
      <c r="T109" s="18">
        <v>4.8620921530621898E-2</v>
      </c>
      <c r="U109" s="18">
        <v>2.6558128099581402</v>
      </c>
      <c r="V109" s="18">
        <v>2.8576589307135299E-2</v>
      </c>
      <c r="W109" s="18">
        <v>79.652409868085002</v>
      </c>
      <c r="X109" s="18">
        <v>1.35363493318939</v>
      </c>
      <c r="Y109" s="18">
        <v>29.9518387536795</v>
      </c>
      <c r="Z109" s="18">
        <v>0.520466794537783</v>
      </c>
      <c r="AA109" s="18">
        <v>14.727580336131901</v>
      </c>
      <c r="AB109" s="18">
        <v>0.475673749911382</v>
      </c>
      <c r="AD109" s="18">
        <v>0.22366972929241599</v>
      </c>
      <c r="AE109" s="18">
        <v>0.17454407724332499</v>
      </c>
      <c r="AG109" s="18">
        <f t="shared" si="1"/>
        <v>0.19477561277939648</v>
      </c>
    </row>
    <row r="111" spans="1:33" s="16" customFormat="1" x14ac:dyDescent="0.2">
      <c r="A111" s="16" t="s">
        <v>194</v>
      </c>
      <c r="E111" s="17"/>
      <c r="F111" s="17"/>
      <c r="I111" s="17"/>
      <c r="J111" s="17"/>
      <c r="Q111" s="17"/>
      <c r="R111" s="17"/>
      <c r="AG111" s="18"/>
    </row>
    <row r="112" spans="1:33" x14ac:dyDescent="0.2">
      <c r="A112" s="18" t="s">
        <v>195</v>
      </c>
      <c r="B112" s="18" t="s">
        <v>90</v>
      </c>
      <c r="C112" s="18">
        <v>6.7178965983869104E-2</v>
      </c>
      <c r="D112" s="18">
        <v>7.5627523474649605E-4</v>
      </c>
      <c r="E112" s="19">
        <v>419.07627246625202</v>
      </c>
      <c r="F112" s="19">
        <v>4.5685466349666699</v>
      </c>
      <c r="G112" s="18">
        <v>0.49615221604503201</v>
      </c>
      <c r="H112" s="18">
        <v>1.6992049436022599E-2</v>
      </c>
      <c r="I112" s="19">
        <v>408.134313958799</v>
      </c>
      <c r="J112" s="19">
        <v>11.190912656834</v>
      </c>
      <c r="K112" s="18">
        <v>2.1917933912010301E-2</v>
      </c>
      <c r="L112" s="18">
        <v>9.8340283371932099E-4</v>
      </c>
      <c r="M112" s="18">
        <v>440.419877281558</v>
      </c>
      <c r="N112" s="18">
        <v>20.0306699397388</v>
      </c>
      <c r="O112" s="18">
        <v>5.3291289002448498E-2</v>
      </c>
      <c r="P112" s="18">
        <v>1.83563232330806E-3</v>
      </c>
      <c r="Q112" s="19">
        <v>290.51796618361999</v>
      </c>
      <c r="R112" s="19">
        <v>77.663250284685006</v>
      </c>
      <c r="S112" s="18">
        <v>14.9028314050158</v>
      </c>
      <c r="T112" s="18">
        <v>0.16454304895638999</v>
      </c>
      <c r="U112" s="18">
        <v>3.4535726806884299</v>
      </c>
      <c r="V112" s="18">
        <v>4.1992658950206603E-2</v>
      </c>
      <c r="W112" s="18">
        <v>104.21936925319</v>
      </c>
      <c r="X112" s="18">
        <v>3.5523651589846699</v>
      </c>
      <c r="Y112" s="18">
        <v>29.737476831489001</v>
      </c>
      <c r="Z112" s="18">
        <v>0.82266637619400595</v>
      </c>
      <c r="AA112" s="18">
        <v>6.2480246313060901</v>
      </c>
      <c r="AB112" s="18">
        <v>0.32704099333494502</v>
      </c>
      <c r="AD112" s="18">
        <v>0.21924283638585201</v>
      </c>
      <c r="AE112" s="18">
        <v>0.12366943809137</v>
      </c>
      <c r="AG112" s="18">
        <f t="shared" si="1"/>
        <v>-44.251413422527406</v>
      </c>
    </row>
    <row r="113" spans="1:33" x14ac:dyDescent="0.2">
      <c r="A113" s="18" t="s">
        <v>196</v>
      </c>
      <c r="B113" s="18" t="s">
        <v>90</v>
      </c>
      <c r="C113" s="18">
        <v>6.6078118461842097E-2</v>
      </c>
      <c r="D113" s="18">
        <v>6.9448918489280697E-4</v>
      </c>
      <c r="E113" s="19">
        <v>412.43282313377301</v>
      </c>
      <c r="F113" s="19">
        <v>4.2020520811460997</v>
      </c>
      <c r="G113" s="18">
        <v>0.48327292279885498</v>
      </c>
      <c r="H113" s="18">
        <v>1.6778225324972199E-2</v>
      </c>
      <c r="I113" s="19">
        <v>399.30163757213398</v>
      </c>
      <c r="J113" s="19">
        <v>11.733997262051799</v>
      </c>
      <c r="K113" s="18">
        <v>2.09496234527634E-2</v>
      </c>
      <c r="L113" s="18">
        <v>6.3681154096611504E-4</v>
      </c>
      <c r="M113" s="18">
        <v>418.91671197006298</v>
      </c>
      <c r="N113" s="18">
        <v>12.6056595354459</v>
      </c>
      <c r="O113" s="18">
        <v>5.3583217389528703E-2</v>
      </c>
      <c r="P113" s="18">
        <v>1.91375649330317E-3</v>
      </c>
      <c r="Q113" s="19">
        <v>293.996835263619</v>
      </c>
      <c r="R113" s="19">
        <v>82.520714290156903</v>
      </c>
      <c r="S113" s="18">
        <v>15.078220190262201</v>
      </c>
      <c r="T113" s="18">
        <v>0.151337232489412</v>
      </c>
      <c r="U113" s="18">
        <v>1.96506025051268</v>
      </c>
      <c r="V113" s="18">
        <v>1.97309727540474E-2</v>
      </c>
      <c r="W113" s="18">
        <v>137.33994125991799</v>
      </c>
      <c r="X113" s="18">
        <v>4.1807393432084297</v>
      </c>
      <c r="Y113" s="18">
        <v>69.640070851314405</v>
      </c>
      <c r="Z113" s="18">
        <v>1.7177456128331401</v>
      </c>
      <c r="AA113" s="18">
        <v>13.2752359998505</v>
      </c>
      <c r="AB113" s="18">
        <v>0.53067023213301701</v>
      </c>
      <c r="AD113" s="18">
        <v>0.22264558590487701</v>
      </c>
      <c r="AE113" s="18">
        <v>8.4626616361863902E-2</v>
      </c>
      <c r="AG113" s="18">
        <f t="shared" si="1"/>
        <v>-40.284783257600608</v>
      </c>
    </row>
    <row r="114" spans="1:33" x14ac:dyDescent="0.2">
      <c r="A114" s="18" t="s">
        <v>197</v>
      </c>
      <c r="B114" s="18" t="s">
        <v>90</v>
      </c>
      <c r="C114" s="18">
        <v>6.6300880229323095E-2</v>
      </c>
      <c r="D114" s="18">
        <v>6.7418685011276004E-4</v>
      </c>
      <c r="E114" s="19">
        <v>413.782351167093</v>
      </c>
      <c r="F114" s="19">
        <v>4.0778134339376004</v>
      </c>
      <c r="G114" s="18">
        <v>0.49458073454791401</v>
      </c>
      <c r="H114" s="18">
        <v>1.7838502632364899E-2</v>
      </c>
      <c r="I114" s="19">
        <v>405.27927619772998</v>
      </c>
      <c r="J114" s="19">
        <v>12.1854592308582</v>
      </c>
      <c r="K114" s="18">
        <v>2.0787493716488099E-2</v>
      </c>
      <c r="L114" s="18">
        <v>8.2551325467130699E-4</v>
      </c>
      <c r="M114" s="18">
        <v>415.60491272505902</v>
      </c>
      <c r="N114" s="18">
        <v>16.331140838869</v>
      </c>
      <c r="O114" s="18">
        <v>5.4654052865857797E-2</v>
      </c>
      <c r="P114" s="18">
        <v>2.0161224126895101E-3</v>
      </c>
      <c r="Q114" s="19">
        <v>345.69342866298001</v>
      </c>
      <c r="R114" s="19">
        <v>85.647282807659195</v>
      </c>
      <c r="S114" s="18">
        <v>15.063582568202801</v>
      </c>
      <c r="T114" s="18">
        <v>0.14739875065949601</v>
      </c>
      <c r="U114" s="18">
        <v>2.4510762711230401</v>
      </c>
      <c r="V114" s="18">
        <v>2.4129208830758E-2</v>
      </c>
      <c r="W114" s="18">
        <v>122.241720816908</v>
      </c>
      <c r="X114" s="18">
        <v>3.7083847188432202</v>
      </c>
      <c r="Y114" s="18">
        <v>49.287072435743397</v>
      </c>
      <c r="Z114" s="18">
        <v>1.6392720695560701</v>
      </c>
      <c r="AA114" s="18">
        <v>9.6410938336096503</v>
      </c>
      <c r="AB114" s="18">
        <v>0.45151327266263303</v>
      </c>
      <c r="AD114" s="18">
        <v>0.185303880710148</v>
      </c>
      <c r="AE114" s="18">
        <v>7.7516664876273705E-2</v>
      </c>
      <c r="AG114" s="18">
        <f t="shared" si="1"/>
        <v>-19.696331158927972</v>
      </c>
    </row>
    <row r="115" spans="1:33" x14ac:dyDescent="0.2">
      <c r="A115" s="18" t="s">
        <v>198</v>
      </c>
      <c r="B115" s="18" t="s">
        <v>90</v>
      </c>
      <c r="C115" s="18">
        <v>6.6885476164193103E-2</v>
      </c>
      <c r="D115" s="18">
        <v>7.3946137242276197E-4</v>
      </c>
      <c r="E115" s="19">
        <v>417.30585322686102</v>
      </c>
      <c r="F115" s="19">
        <v>4.4666066906859401</v>
      </c>
      <c r="G115" s="18">
        <v>0.51002196835765201</v>
      </c>
      <c r="H115" s="18">
        <v>1.9279475618819601E-2</v>
      </c>
      <c r="I115" s="19">
        <v>415.375188499035</v>
      </c>
      <c r="J115" s="19">
        <v>12.8607473854997</v>
      </c>
      <c r="K115" s="18">
        <v>2.0272621140305199E-2</v>
      </c>
      <c r="L115" s="18">
        <v>8.6900842671700299E-4</v>
      </c>
      <c r="M115" s="18">
        <v>405.38024446145198</v>
      </c>
      <c r="N115" s="18">
        <v>17.202910237520999</v>
      </c>
      <c r="O115" s="18">
        <v>5.5183770502902497E-2</v>
      </c>
      <c r="P115" s="18">
        <v>2.0144760519037398E-3</v>
      </c>
      <c r="Q115" s="19">
        <v>359.336417130607</v>
      </c>
      <c r="R115" s="19">
        <v>92.027732216454396</v>
      </c>
      <c r="S115" s="18">
        <v>14.992407867788099</v>
      </c>
      <c r="T115" s="18">
        <v>0.165900811262463</v>
      </c>
      <c r="U115" s="18">
        <v>2.2071700798873501</v>
      </c>
      <c r="V115" s="18">
        <v>1.7869981847841401E-2</v>
      </c>
      <c r="W115" s="18">
        <v>87.155089362605196</v>
      </c>
      <c r="X115" s="18">
        <v>3.0653252590107498</v>
      </c>
      <c r="Y115" s="18">
        <v>39.3966328229086</v>
      </c>
      <c r="Z115" s="18">
        <v>1.2819139554330501</v>
      </c>
      <c r="AA115" s="18">
        <v>7.0911431695596496</v>
      </c>
      <c r="AB115" s="18">
        <v>0.35183764857915401</v>
      </c>
      <c r="AD115" s="18">
        <v>0.220325856589734</v>
      </c>
      <c r="AE115" s="18">
        <v>3.9802890885473098E-2</v>
      </c>
      <c r="AG115" s="18">
        <f t="shared" si="1"/>
        <v>-16.13235768285184</v>
      </c>
    </row>
    <row r="116" spans="1:33" x14ac:dyDescent="0.2">
      <c r="A116" s="18" t="s">
        <v>199</v>
      </c>
      <c r="B116" s="18" t="s">
        <v>90</v>
      </c>
      <c r="C116" s="18">
        <v>6.7038787799685307E-2</v>
      </c>
      <c r="D116" s="18">
        <v>7.8080624784861695E-4</v>
      </c>
      <c r="E116" s="19">
        <v>418.22539848292303</v>
      </c>
      <c r="F116" s="19">
        <v>4.7180819095766298</v>
      </c>
      <c r="G116" s="18">
        <v>0.52936419957069203</v>
      </c>
      <c r="H116" s="18">
        <v>2.31820322457282E-2</v>
      </c>
      <c r="I116" s="19">
        <v>426.95652530726198</v>
      </c>
      <c r="J116" s="19">
        <v>15.4818113463011</v>
      </c>
      <c r="K116" s="18">
        <v>2.3113685273992698E-2</v>
      </c>
      <c r="L116" s="18">
        <v>1.42005911834279E-3</v>
      </c>
      <c r="M116" s="18">
        <v>461.12660914240001</v>
      </c>
      <c r="N116" s="18">
        <v>28.059323346317001</v>
      </c>
      <c r="O116" s="18">
        <v>5.7659181582657801E-2</v>
      </c>
      <c r="P116" s="18">
        <v>2.5472029211841998E-3</v>
      </c>
      <c r="Q116" s="19">
        <v>424.53719410268502</v>
      </c>
      <c r="R116" s="19">
        <v>102.500582871993</v>
      </c>
      <c r="S116" s="18">
        <v>14.927199088233399</v>
      </c>
      <c r="T116" s="18">
        <v>0.17605569726176901</v>
      </c>
      <c r="U116" s="18">
        <v>3.04392691476622</v>
      </c>
      <c r="V116" s="18">
        <v>3.7019621030385197E-2</v>
      </c>
      <c r="W116" s="18">
        <v>71.855926766080202</v>
      </c>
      <c r="X116" s="18">
        <v>1.9574338137718701</v>
      </c>
      <c r="Y116" s="18">
        <v>23.6121278775361</v>
      </c>
      <c r="Z116" s="18">
        <v>0.61050039591486105</v>
      </c>
      <c r="AA116" s="18">
        <v>5.37200752950955</v>
      </c>
      <c r="AB116" s="18">
        <v>0.33923653119028202</v>
      </c>
      <c r="AD116" s="18">
        <v>0.15572573896341299</v>
      </c>
      <c r="AE116" s="18">
        <v>0.11723161870483199</v>
      </c>
      <c r="AG116" s="18">
        <f t="shared" si="1"/>
        <v>1.4867473821941091</v>
      </c>
    </row>
    <row r="117" spans="1:33" x14ac:dyDescent="0.2">
      <c r="A117" s="18" t="s">
        <v>200</v>
      </c>
      <c r="B117" s="18" t="s">
        <v>90</v>
      </c>
      <c r="C117" s="18">
        <v>6.7095104236794503E-2</v>
      </c>
      <c r="D117" s="18">
        <v>6.4098208056848299E-4</v>
      </c>
      <c r="E117" s="19">
        <v>418.586903350797</v>
      </c>
      <c r="F117" s="19">
        <v>3.8710544409907399</v>
      </c>
      <c r="G117" s="18">
        <v>0.51584709314466604</v>
      </c>
      <c r="H117" s="18">
        <v>1.91879151860571E-2</v>
      </c>
      <c r="I117" s="19">
        <v>420.84544483466698</v>
      </c>
      <c r="J117" s="19">
        <v>13.2626877023446</v>
      </c>
      <c r="K117" s="18">
        <v>2.2005447713213201E-2</v>
      </c>
      <c r="L117" s="18">
        <v>8.6097052190871695E-4</v>
      </c>
      <c r="M117" s="18">
        <v>439.68557733073197</v>
      </c>
      <c r="N117" s="18">
        <v>17.011110650048899</v>
      </c>
      <c r="O117" s="18">
        <v>5.60544513055534E-2</v>
      </c>
      <c r="P117" s="18">
        <v>2.1696954523460201E-3</v>
      </c>
      <c r="Q117" s="19">
        <v>387.37523667504598</v>
      </c>
      <c r="R117" s="19">
        <v>86.803623130257193</v>
      </c>
      <c r="S117" s="18">
        <v>14.928430257291501</v>
      </c>
      <c r="T117" s="18">
        <v>0.14244711010369299</v>
      </c>
      <c r="U117" s="18">
        <v>2.2841262250110002</v>
      </c>
      <c r="V117" s="18">
        <v>3.1884165969158398E-2</v>
      </c>
      <c r="W117" s="18">
        <v>128.91150388756699</v>
      </c>
      <c r="X117" s="18">
        <v>2.5731848017911001</v>
      </c>
      <c r="Y117" s="18">
        <v>55.228219202753003</v>
      </c>
      <c r="Z117" s="18">
        <v>0.60205687013762099</v>
      </c>
      <c r="AA117" s="18">
        <v>10.6611699935904</v>
      </c>
      <c r="AB117" s="18">
        <v>0.42351730687702499</v>
      </c>
      <c r="AD117" s="18">
        <v>0.19784637988116299</v>
      </c>
      <c r="AE117" s="18">
        <v>7.4664255578962405E-2</v>
      </c>
      <c r="AG117" s="18">
        <f t="shared" si="1"/>
        <v>-8.0572178396455705</v>
      </c>
    </row>
    <row r="118" spans="1:33" x14ac:dyDescent="0.2">
      <c r="A118" s="18" t="s">
        <v>201</v>
      </c>
      <c r="B118" s="18" t="s">
        <v>90</v>
      </c>
      <c r="C118" s="18">
        <v>6.70330484061053E-2</v>
      </c>
      <c r="D118" s="18">
        <v>7.1153511564584003E-4</v>
      </c>
      <c r="E118" s="19">
        <v>418.20211595779602</v>
      </c>
      <c r="F118" s="19">
        <v>4.3006443817941804</v>
      </c>
      <c r="G118" s="18">
        <v>0.50683419731314505</v>
      </c>
      <c r="H118" s="18">
        <v>1.70657822224459E-2</v>
      </c>
      <c r="I118" s="19">
        <v>413.84964079786999</v>
      </c>
      <c r="J118" s="19">
        <v>11.597317576743601</v>
      </c>
      <c r="K118" s="18">
        <v>2.05764448928333E-2</v>
      </c>
      <c r="L118" s="18">
        <v>7.4888292775770701E-4</v>
      </c>
      <c r="M118" s="18">
        <v>411.47072037700502</v>
      </c>
      <c r="N118" s="18">
        <v>14.8320403361922</v>
      </c>
      <c r="O118" s="18">
        <v>5.4808379156351297E-2</v>
      </c>
      <c r="P118" s="18">
        <v>1.8796134291784101E-3</v>
      </c>
      <c r="Q118" s="19">
        <v>345.44018129970902</v>
      </c>
      <c r="R118" s="19">
        <v>84.244735001367999</v>
      </c>
      <c r="S118" s="18">
        <v>14.860920885531</v>
      </c>
      <c r="T118" s="18">
        <v>0.14920141931063399</v>
      </c>
      <c r="U118" s="18">
        <v>1.9344696941645501</v>
      </c>
      <c r="V118" s="18">
        <v>2.1014353647767998E-2</v>
      </c>
      <c r="W118" s="18">
        <v>122.810872628487</v>
      </c>
      <c r="X118" s="18">
        <v>3.4538780426429998</v>
      </c>
      <c r="Y118" s="18">
        <v>63.154590204793799</v>
      </c>
      <c r="Z118" s="18">
        <v>1.44973093967422</v>
      </c>
      <c r="AA118" s="18">
        <v>12.2524984498113</v>
      </c>
      <c r="AB118" s="18">
        <v>0.512011814343868</v>
      </c>
      <c r="AD118" s="18">
        <v>0.18899866771791399</v>
      </c>
      <c r="AE118" s="18">
        <v>7.8791899573051494E-2</v>
      </c>
      <c r="AG118" s="18">
        <f t="shared" si="1"/>
        <v>-21.063541127243003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2C9-F75B-8F40-8CC7-E4221BE810EC}">
  <dimension ref="A1:AM199"/>
  <sheetViews>
    <sheetView showRuler="0" workbookViewId="0">
      <selection activeCell="U4" sqref="U4"/>
    </sheetView>
  </sheetViews>
  <sheetFormatPr baseColWidth="10" defaultColWidth="8.83203125" defaultRowHeight="16" x14ac:dyDescent="0.2"/>
  <cols>
    <col min="1" max="1" width="8.83203125" style="18"/>
    <col min="2" max="2" width="21.83203125" style="18" bestFit="1" customWidth="1"/>
    <col min="3" max="3" width="23.6640625" style="18" bestFit="1" customWidth="1"/>
    <col min="4" max="4" width="25.1640625" style="18" bestFit="1" customWidth="1"/>
    <col min="5" max="5" width="25.33203125" style="18" bestFit="1" customWidth="1"/>
    <col min="6" max="6" width="27.33203125" style="18" bestFit="1" customWidth="1"/>
    <col min="7" max="7" width="28.83203125" style="18" bestFit="1" customWidth="1"/>
    <col min="8" max="8" width="21.83203125" style="18" bestFit="1" customWidth="1"/>
    <col min="9" max="9" width="23.6640625" style="18" bestFit="1" customWidth="1"/>
    <col min="10" max="10" width="25.1640625" style="18" bestFit="1" customWidth="1"/>
    <col min="11" max="11" width="25.33203125" style="18" bestFit="1" customWidth="1"/>
    <col min="12" max="12" width="27.33203125" style="18" bestFit="1" customWidth="1"/>
    <col min="13" max="13" width="28.83203125" style="18" bestFit="1" customWidth="1"/>
    <col min="14" max="14" width="22.5" style="18" bestFit="1" customWidth="1"/>
    <col min="15" max="15" width="24.33203125" style="18" bestFit="1" customWidth="1"/>
    <col min="16" max="16" width="25.83203125" style="18" bestFit="1" customWidth="1"/>
    <col min="17" max="17" width="26" style="18" bestFit="1" customWidth="1"/>
    <col min="18" max="18" width="28" style="18" bestFit="1" customWidth="1"/>
    <col min="19" max="19" width="29.5" style="18" bestFit="1" customWidth="1"/>
    <col min="20" max="20" width="22.5" style="18" bestFit="1" customWidth="1"/>
    <col min="21" max="21" width="24.33203125" style="18" bestFit="1" customWidth="1"/>
    <col min="22" max="22" width="25.83203125" style="18" bestFit="1" customWidth="1"/>
    <col min="23" max="23" width="26" style="18" bestFit="1" customWidth="1"/>
    <col min="24" max="24" width="28" style="18" bestFit="1" customWidth="1"/>
    <col min="25" max="25" width="29.5" style="18" bestFit="1" customWidth="1"/>
    <col min="26" max="26" width="21.83203125" style="18" bestFit="1" customWidth="1"/>
    <col min="27" max="27" width="23.6640625" style="18" bestFit="1" customWidth="1"/>
    <col min="28" max="28" width="25.1640625" style="18" bestFit="1" customWidth="1"/>
    <col min="29" max="29" width="15.5" style="18" bestFit="1" customWidth="1"/>
    <col min="30" max="30" width="17.5" style="18" bestFit="1" customWidth="1"/>
    <col min="31" max="31" width="19.83203125" style="18" bestFit="1" customWidth="1"/>
    <col min="32" max="32" width="21.83203125" style="18" bestFit="1" customWidth="1"/>
    <col min="33" max="33" width="20.5" style="18" bestFit="1" customWidth="1"/>
    <col min="34" max="34" width="22.5" style="18" bestFit="1" customWidth="1"/>
    <col min="35" max="35" width="20.5" style="18" bestFit="1" customWidth="1"/>
    <col min="36" max="36" width="22.5" style="18" bestFit="1" customWidth="1"/>
    <col min="37" max="37" width="8.83203125" style="18"/>
    <col min="38" max="38" width="27.1640625" style="18" bestFit="1" customWidth="1"/>
    <col min="39" max="39" width="27.83203125" style="18" bestFit="1" customWidth="1"/>
    <col min="40" max="16384" width="8.83203125" style="18"/>
  </cols>
  <sheetData>
    <row r="1" spans="1:39" s="16" customFormat="1" x14ac:dyDescent="0.2">
      <c r="B1" s="16" t="s">
        <v>2</v>
      </c>
      <c r="C1" s="16" t="s">
        <v>3</v>
      </c>
      <c r="D1" s="16" t="s">
        <v>326</v>
      </c>
      <c r="E1" s="16" t="s">
        <v>14</v>
      </c>
      <c r="F1" s="16" t="s">
        <v>15</v>
      </c>
      <c r="G1" s="16" t="s">
        <v>327</v>
      </c>
      <c r="H1" s="16" t="s">
        <v>0</v>
      </c>
      <c r="I1" s="16" t="s">
        <v>1</v>
      </c>
      <c r="J1" s="16" t="s">
        <v>328</v>
      </c>
      <c r="K1" s="16" t="s">
        <v>75</v>
      </c>
      <c r="L1" s="16" t="s">
        <v>76</v>
      </c>
      <c r="M1" s="16" t="s">
        <v>329</v>
      </c>
      <c r="N1" s="16" t="s">
        <v>77</v>
      </c>
      <c r="O1" s="16" t="s">
        <v>78</v>
      </c>
      <c r="P1" s="16" t="s">
        <v>330</v>
      </c>
      <c r="Q1" s="16" t="s">
        <v>79</v>
      </c>
      <c r="R1" s="16" t="s">
        <v>80</v>
      </c>
      <c r="S1" s="16" t="s">
        <v>331</v>
      </c>
      <c r="T1" s="16" t="s">
        <v>7</v>
      </c>
      <c r="U1" s="16" t="s">
        <v>8</v>
      </c>
      <c r="V1" s="16" t="s">
        <v>332</v>
      </c>
      <c r="W1" s="16" t="s">
        <v>16</v>
      </c>
      <c r="X1" s="16" t="s">
        <v>17</v>
      </c>
      <c r="Y1" s="16" t="s">
        <v>333</v>
      </c>
      <c r="Z1" s="16" t="s">
        <v>9</v>
      </c>
      <c r="AA1" s="16" t="s">
        <v>10</v>
      </c>
      <c r="AB1" s="16" t="s">
        <v>334</v>
      </c>
      <c r="AC1" s="16" t="s">
        <v>11</v>
      </c>
      <c r="AD1" s="16" t="s">
        <v>12</v>
      </c>
      <c r="AE1" s="16" t="s">
        <v>81</v>
      </c>
      <c r="AF1" s="16" t="s">
        <v>82</v>
      </c>
      <c r="AG1" s="16" t="s">
        <v>83</v>
      </c>
      <c r="AH1" s="16" t="s">
        <v>84</v>
      </c>
      <c r="AI1" s="16" t="s">
        <v>85</v>
      </c>
      <c r="AJ1" s="16" t="s">
        <v>86</v>
      </c>
      <c r="AL1" s="16" t="s">
        <v>4</v>
      </c>
      <c r="AM1" s="16" t="s">
        <v>13</v>
      </c>
    </row>
    <row r="2" spans="1:39" s="16" customFormat="1" x14ac:dyDescent="0.2">
      <c r="A2" s="16" t="s">
        <v>335</v>
      </c>
    </row>
    <row r="3" spans="1:39" x14ac:dyDescent="0.2">
      <c r="A3" s="18" t="s">
        <v>336</v>
      </c>
      <c r="B3" s="18">
        <v>0.531259513961025</v>
      </c>
      <c r="C3" s="18">
        <v>1.6858106063032801</v>
      </c>
      <c r="D3" s="18">
        <v>1.68598072470954</v>
      </c>
      <c r="E3" s="18">
        <v>9987.7970162349193</v>
      </c>
      <c r="F3" s="18">
        <v>1037.9625905600601</v>
      </c>
      <c r="G3" s="18">
        <v>1038.0673333710299</v>
      </c>
      <c r="H3" s="18">
        <v>245.61363574450399</v>
      </c>
      <c r="I3" s="18">
        <v>198.16922332397101</v>
      </c>
      <c r="J3" s="18">
        <v>198.73102299899799</v>
      </c>
      <c r="K3" s="18">
        <v>6812.8801068899102</v>
      </c>
      <c r="L3" s="18">
        <v>23.3883444356225</v>
      </c>
      <c r="M3" s="18">
        <v>23.454649203249598</v>
      </c>
      <c r="N3" s="18">
        <v>-406.38648041072298</v>
      </c>
      <c r="O3" s="18">
        <v>271.51203932141101</v>
      </c>
      <c r="P3" s="18">
        <v>271.87012133928698</v>
      </c>
      <c r="Q3" s="18">
        <v>161564.186527654</v>
      </c>
      <c r="R3" s="18">
        <v>17090.3265889049</v>
      </c>
      <c r="S3" s="18">
        <v>17112.866063200101</v>
      </c>
      <c r="T3" s="18">
        <v>0.19344944972758199</v>
      </c>
      <c r="U3" s="18">
        <v>0.21732747484287701</v>
      </c>
      <c r="V3" s="18">
        <v>0.21746885405472299</v>
      </c>
      <c r="W3" s="18">
        <v>4071.8122250330698</v>
      </c>
      <c r="X3" s="18">
        <v>0.21222122569315599</v>
      </c>
      <c r="Y3" s="18">
        <v>0.212359283109261</v>
      </c>
      <c r="Z3" s="18">
        <v>-0.346588402893306</v>
      </c>
      <c r="AA3" s="18">
        <v>0.240401633435817</v>
      </c>
      <c r="AB3" s="18">
        <v>0.24042589282924401</v>
      </c>
      <c r="AC3" s="18">
        <v>184.06255805583601</v>
      </c>
      <c r="AD3" s="18">
        <v>103.182840754456</v>
      </c>
      <c r="AE3" s="18">
        <v>3.6872600182092301E-3</v>
      </c>
      <c r="AF3" s="18">
        <v>1.6779037108349899E-3</v>
      </c>
      <c r="AG3" s="18">
        <v>1.8347611880414499E-5</v>
      </c>
      <c r="AH3" s="18">
        <v>1.1541226557267001E-6</v>
      </c>
      <c r="AI3" s="18">
        <v>-1.4783344174473301E-2</v>
      </c>
      <c r="AJ3" s="18">
        <v>4.3255074239838501E-2</v>
      </c>
      <c r="AL3" s="18">
        <v>-9.07461350707848E-2</v>
      </c>
      <c r="AM3" s="18">
        <v>-8.5114200871851207E-3</v>
      </c>
    </row>
    <row r="4" spans="1:39" x14ac:dyDescent="0.2">
      <c r="A4" s="18" t="s">
        <v>337</v>
      </c>
      <c r="B4" s="18">
        <v>1.1846725668482501</v>
      </c>
      <c r="C4" s="18">
        <v>2.1342538605150998</v>
      </c>
      <c r="D4" s="18">
        <v>2.1349216183912199</v>
      </c>
      <c r="E4" s="18">
        <v>13669.034408543201</v>
      </c>
      <c r="F4" s="18">
        <v>60.802863428505198</v>
      </c>
      <c r="G4" s="18">
        <v>60.8218872155513</v>
      </c>
      <c r="H4" s="18">
        <v>139.692861728981</v>
      </c>
      <c r="I4" s="18">
        <v>300.21837099639902</v>
      </c>
      <c r="J4" s="18">
        <v>300.33848846030901</v>
      </c>
      <c r="K4" s="18">
        <v>7017.7214105839103</v>
      </c>
      <c r="L4" s="18">
        <v>9.4366562487514507</v>
      </c>
      <c r="M4" s="18">
        <v>9.4404318578610091</v>
      </c>
      <c r="N4" s="18">
        <v>434.90528463966098</v>
      </c>
      <c r="O4" s="18">
        <v>226.47367298112201</v>
      </c>
      <c r="P4" s="18">
        <v>226.96513494168701</v>
      </c>
      <c r="Q4" s="18">
        <v>132844.17402521599</v>
      </c>
      <c r="R4" s="18">
        <v>1980.70816727632</v>
      </c>
      <c r="S4" s="18">
        <v>1985.00642723026</v>
      </c>
      <c r="T4" s="18">
        <v>9.9731730053722906E-2</v>
      </c>
      <c r="U4" s="18">
        <v>0.27534022481147102</v>
      </c>
      <c r="V4" s="18">
        <v>0.27536989345676099</v>
      </c>
      <c r="W4" s="18" t="s">
        <v>338</v>
      </c>
      <c r="X4" s="18" t="s">
        <v>338</v>
      </c>
      <c r="Y4" s="18" t="s">
        <v>338</v>
      </c>
      <c r="Z4" s="18">
        <v>0.103677419489828</v>
      </c>
      <c r="AA4" s="18">
        <v>1.12421021587767E-2</v>
      </c>
      <c r="AB4" s="18">
        <v>1.1245619548342901E-2</v>
      </c>
      <c r="AC4" s="18">
        <v>46.1796164355044</v>
      </c>
      <c r="AD4" s="18">
        <v>20.988669448981501</v>
      </c>
      <c r="AE4" s="18">
        <v>-7.6287319344509497E-4</v>
      </c>
      <c r="AF4" s="18">
        <v>3.1587270804324501E-7</v>
      </c>
      <c r="AG4" s="18">
        <v>-1.6742850823382099E-5</v>
      </c>
      <c r="AH4" s="18">
        <v>1.2348026510457599E-6</v>
      </c>
      <c r="AI4" s="18">
        <v>1.78559016921851E-3</v>
      </c>
      <c r="AJ4" s="18">
        <v>4.32547248883378E-2</v>
      </c>
      <c r="AL4" s="18">
        <v>9.0202500060396595E-2</v>
      </c>
      <c r="AM4" s="18">
        <v>-1.2214277943569499E-2</v>
      </c>
    </row>
    <row r="5" spans="1:39" x14ac:dyDescent="0.2">
      <c r="A5" s="18" t="s">
        <v>275</v>
      </c>
      <c r="B5" s="18">
        <v>6.5470785930877398</v>
      </c>
      <c r="C5" s="18">
        <v>0.19257303611754301</v>
      </c>
      <c r="D5" s="18">
        <v>0.35229527742810701</v>
      </c>
      <c r="E5" s="18">
        <v>12949.9689366647</v>
      </c>
      <c r="F5" s="18">
        <v>169.96456110956601</v>
      </c>
      <c r="G5" s="18">
        <v>310.935079054852</v>
      </c>
      <c r="H5" s="18">
        <v>673.11021608463602</v>
      </c>
      <c r="I5" s="18">
        <v>18.890508694585399</v>
      </c>
      <c r="J5" s="18">
        <v>45.060877299592804</v>
      </c>
      <c r="K5" s="18">
        <v>6598.3415636044801</v>
      </c>
      <c r="L5" s="18">
        <v>29.6734682959728</v>
      </c>
      <c r="M5" s="18">
        <v>70.782239671578793</v>
      </c>
      <c r="N5" s="18">
        <v>7.1096111911011599</v>
      </c>
      <c r="O5" s="18">
        <v>0.26270179624465201</v>
      </c>
      <c r="P5" s="18">
        <v>0.35857222895770802</v>
      </c>
      <c r="Q5" s="18">
        <v>41920.827892706096</v>
      </c>
      <c r="R5" s="18">
        <v>655.76852176935097</v>
      </c>
      <c r="S5" s="18">
        <v>895.08478393559506</v>
      </c>
      <c r="T5" s="18">
        <v>0.74894572591472697</v>
      </c>
      <c r="U5" s="18">
        <v>6.8736558278417598E-3</v>
      </c>
      <c r="V5" s="18">
        <v>3.1127390288407001E-2</v>
      </c>
      <c r="W5" s="18">
        <v>4822.1785015503401</v>
      </c>
      <c r="X5" s="18">
        <v>12.6880304306141</v>
      </c>
      <c r="Y5" s="18">
        <v>57.457819404512897</v>
      </c>
      <c r="Z5" s="18">
        <v>0.15711616172593901</v>
      </c>
      <c r="AA5" s="18">
        <v>4.9152155564414499E-3</v>
      </c>
      <c r="AB5" s="18">
        <v>8.9919506021525902E-3</v>
      </c>
      <c r="AC5" s="18">
        <v>0.50818261025227696</v>
      </c>
      <c r="AD5" s="18">
        <v>3.4502412013718203E-2</v>
      </c>
      <c r="AE5" s="18">
        <v>7.05587704956735</v>
      </c>
      <c r="AF5" s="18">
        <v>0.64016845602578798</v>
      </c>
      <c r="AG5" s="18">
        <v>12.8477100756925</v>
      </c>
      <c r="AH5" s="18">
        <v>0.466930869979303</v>
      </c>
      <c r="AI5" s="18">
        <v>894.85816718187004</v>
      </c>
      <c r="AJ5" s="18">
        <v>48.391025321551901</v>
      </c>
      <c r="AL5" s="18">
        <v>0.949278913099451</v>
      </c>
      <c r="AM5" s="18">
        <v>0.20396371608852101</v>
      </c>
    </row>
    <row r="6" spans="1:39" x14ac:dyDescent="0.2">
      <c r="A6" s="18" t="s">
        <v>276</v>
      </c>
      <c r="B6" s="18">
        <v>0.24000305351218401</v>
      </c>
      <c r="C6" s="18">
        <v>2.7268143070731201E-3</v>
      </c>
      <c r="D6" s="18">
        <v>1.1160521916426599E-2</v>
      </c>
      <c r="E6" s="18">
        <v>1388.30332692088</v>
      </c>
      <c r="F6" s="18">
        <v>14.742792997846699</v>
      </c>
      <c r="G6" s="18">
        <v>60.340472739567701</v>
      </c>
      <c r="H6" s="18">
        <v>2.87428463450855</v>
      </c>
      <c r="I6" s="18">
        <v>5.9510935231791399E-2</v>
      </c>
      <c r="J6" s="18">
        <v>0.184598075161237</v>
      </c>
      <c r="K6" s="18">
        <v>1370.6693950215799</v>
      </c>
      <c r="L6" s="18">
        <v>16.023059065359401</v>
      </c>
      <c r="M6" s="18">
        <v>49.7022244758816</v>
      </c>
      <c r="N6" s="18">
        <v>5.62121733342087E-2</v>
      </c>
      <c r="O6" s="18">
        <v>2.5830176400022699E-3</v>
      </c>
      <c r="P6" s="18">
        <v>3.2241542218323601E-3</v>
      </c>
      <c r="Q6" s="18">
        <v>1103.1885246424199</v>
      </c>
      <c r="R6" s="18">
        <v>49.328274803987497</v>
      </c>
      <c r="S6" s="18">
        <v>61.572156148667801</v>
      </c>
      <c r="T6" s="18">
        <v>8.68686608342297E-2</v>
      </c>
      <c r="U6" s="18">
        <v>1.7753512934568501E-3</v>
      </c>
      <c r="V6" s="18">
        <v>3.9434485470935497E-3</v>
      </c>
      <c r="W6" s="18">
        <v>1336.9376147867899</v>
      </c>
      <c r="X6" s="18">
        <v>41.422583641713103</v>
      </c>
      <c r="Y6" s="18">
        <v>92.008735330749403</v>
      </c>
      <c r="Z6" s="18">
        <v>4.1598381964107496</v>
      </c>
      <c r="AA6" s="18">
        <v>4.8671588052333702E-2</v>
      </c>
      <c r="AB6" s="18">
        <v>0.199206936737989</v>
      </c>
      <c r="AC6" s="18">
        <v>1.51040394859946</v>
      </c>
      <c r="AD6" s="18">
        <v>4.9079860445500098E-2</v>
      </c>
      <c r="AE6" s="18">
        <v>89.285116628977406</v>
      </c>
      <c r="AF6" s="18">
        <v>3.8800187281845999</v>
      </c>
      <c r="AG6" s="18">
        <v>55.7856259267353</v>
      </c>
      <c r="AH6" s="18">
        <v>0.96360673174398503</v>
      </c>
      <c r="AI6" s="18">
        <v>30.834494065350501</v>
      </c>
      <c r="AJ6" s="18">
        <v>1.6246251188491601</v>
      </c>
      <c r="AL6" s="18">
        <v>0.35061950037089701</v>
      </c>
      <c r="AM6" s="18">
        <v>0.29458107252933902</v>
      </c>
    </row>
    <row r="7" spans="1:39" x14ac:dyDescent="0.2">
      <c r="A7" s="18" t="s">
        <v>277</v>
      </c>
      <c r="B7" s="18">
        <v>7.7392017505479904</v>
      </c>
      <c r="C7" s="18">
        <v>0.21490957016370699</v>
      </c>
      <c r="D7" s="18">
        <v>0.409734693359595</v>
      </c>
      <c r="E7" s="18">
        <v>13904.5683289386</v>
      </c>
      <c r="F7" s="18">
        <v>157.92593663553899</v>
      </c>
      <c r="G7" s="18">
        <v>301.09285115408397</v>
      </c>
      <c r="H7" s="18">
        <v>806.69874989033701</v>
      </c>
      <c r="I7" s="18">
        <v>19.4795094811046</v>
      </c>
      <c r="J7" s="18">
        <v>52.770675258649</v>
      </c>
      <c r="K7" s="18">
        <v>6786.5068801807902</v>
      </c>
      <c r="L7" s="18">
        <v>24.449969339604099</v>
      </c>
      <c r="M7" s="18">
        <v>66.235825566127701</v>
      </c>
      <c r="N7" s="18">
        <v>17.047539032167801</v>
      </c>
      <c r="O7" s="18">
        <v>1.3353269995094701</v>
      </c>
      <c r="P7" s="18">
        <v>1.45791346936807</v>
      </c>
      <c r="Q7" s="18">
        <v>57175.300223638202</v>
      </c>
      <c r="R7" s="18">
        <v>1458.01949585744</v>
      </c>
      <c r="S7" s="18">
        <v>1591.8694539934199</v>
      </c>
      <c r="T7" s="18">
        <v>0.76389420687139897</v>
      </c>
      <c r="U7" s="18">
        <v>1.32690429572701E-2</v>
      </c>
      <c r="V7" s="18">
        <v>3.3684910113067602E-2</v>
      </c>
      <c r="W7" s="18">
        <v>4806.9410095252397</v>
      </c>
      <c r="X7" s="18">
        <v>22.121220540137902</v>
      </c>
      <c r="Y7" s="18">
        <v>56.157126620622101</v>
      </c>
      <c r="Z7" s="18">
        <v>0.132154611436749</v>
      </c>
      <c r="AA7" s="18">
        <v>3.5954622977655299E-3</v>
      </c>
      <c r="AB7" s="18">
        <v>6.8549094437197304E-3</v>
      </c>
      <c r="AC7" s="18">
        <v>0.99216991173369296</v>
      </c>
      <c r="AD7" s="18">
        <v>7.4634988009462805E-2</v>
      </c>
      <c r="AE7" s="18">
        <v>2.94797886655018</v>
      </c>
      <c r="AF7" s="18">
        <v>0.15852605961385599</v>
      </c>
      <c r="AG7" s="18">
        <v>3.0140641677638702</v>
      </c>
      <c r="AH7" s="18">
        <v>0.13777794332683799</v>
      </c>
      <c r="AI7" s="18">
        <v>469.26180419721601</v>
      </c>
      <c r="AJ7" s="18">
        <v>21.972865856361601</v>
      </c>
      <c r="AL7" s="18">
        <v>0.78529726365165298</v>
      </c>
      <c r="AM7" s="18">
        <v>0.52330428438952703</v>
      </c>
    </row>
    <row r="8" spans="1:39" x14ac:dyDescent="0.2">
      <c r="A8" s="18" t="s">
        <v>278</v>
      </c>
      <c r="B8" s="18">
        <v>0.39068385641911002</v>
      </c>
      <c r="C8" s="18">
        <v>3.2401549585784001E-3</v>
      </c>
      <c r="D8" s="18">
        <v>1.7906311664211302E-2</v>
      </c>
      <c r="E8" s="18">
        <v>2125.3611427772598</v>
      </c>
      <c r="F8" s="18">
        <v>15.007645348892799</v>
      </c>
      <c r="G8" s="18">
        <v>82.937877477665396</v>
      </c>
      <c r="H8" s="18">
        <v>6.8733711607661503</v>
      </c>
      <c r="I8" s="18">
        <v>9.3143734956897595E-2</v>
      </c>
      <c r="J8" s="18">
        <v>0.42810091758617502</v>
      </c>
      <c r="K8" s="18">
        <v>2092.5958873466502</v>
      </c>
      <c r="L8" s="18">
        <v>12.157221967148301</v>
      </c>
      <c r="M8" s="18">
        <v>55.876199100705797</v>
      </c>
      <c r="N8" s="18">
        <v>0.110893844915227</v>
      </c>
      <c r="O8" s="18">
        <v>2.04550774487552E-3</v>
      </c>
      <c r="P8" s="18">
        <v>4.3213838999580098E-3</v>
      </c>
      <c r="Q8" s="18">
        <v>2124.3661572806</v>
      </c>
      <c r="R8" s="18">
        <v>37.2470877531863</v>
      </c>
      <c r="S8" s="18">
        <v>78.689003129019198</v>
      </c>
      <c r="T8" s="18">
        <v>0.12798470184070901</v>
      </c>
      <c r="U8" s="18">
        <v>1.7616217635063899E-3</v>
      </c>
      <c r="V8" s="18">
        <v>5.4787783791858096E-3</v>
      </c>
      <c r="W8" s="18">
        <v>2068.8961203757699</v>
      </c>
      <c r="X8" s="18">
        <v>23.073099412514999</v>
      </c>
      <c r="Y8" s="18">
        <v>71.759103356260198</v>
      </c>
      <c r="Z8" s="18">
        <v>2.5617425331030699</v>
      </c>
      <c r="AA8" s="18">
        <v>2.12332690517095E-2</v>
      </c>
      <c r="AB8" s="18">
        <v>0.11734300925434001</v>
      </c>
      <c r="AC8" s="18">
        <v>1.3717254094</v>
      </c>
      <c r="AD8" s="18">
        <v>1.6314564658736101E-2</v>
      </c>
      <c r="AE8" s="18">
        <v>106.439245746868</v>
      </c>
      <c r="AF8" s="18">
        <v>3.43330557502426</v>
      </c>
      <c r="AG8" s="18">
        <v>74.455403338947207</v>
      </c>
      <c r="AH8" s="18">
        <v>1.81054690382487</v>
      </c>
      <c r="AI8" s="18">
        <v>79.887825409719696</v>
      </c>
      <c r="AJ8" s="18">
        <v>2.4406337643835601</v>
      </c>
      <c r="AL8" s="18">
        <v>0.28366365270799199</v>
      </c>
      <c r="AM8" s="18">
        <v>0.31621051640120601</v>
      </c>
    </row>
    <row r="9" spans="1:39" x14ac:dyDescent="0.2">
      <c r="A9" s="18" t="s">
        <v>279</v>
      </c>
      <c r="B9" s="18">
        <v>0.340712142904535</v>
      </c>
      <c r="C9" s="18">
        <v>3.2718400383221799E-3</v>
      </c>
      <c r="D9" s="18">
        <v>1.5706046680475899E-2</v>
      </c>
      <c r="E9" s="18">
        <v>1889.39400399685</v>
      </c>
      <c r="F9" s="18">
        <v>15.7317671038042</v>
      </c>
      <c r="G9" s="18">
        <v>75.518321679757406</v>
      </c>
      <c r="H9" s="18">
        <v>5.3840133418276004</v>
      </c>
      <c r="I9" s="18">
        <v>9.8213979497583995E-2</v>
      </c>
      <c r="J9" s="18">
        <v>0.34174918860214998</v>
      </c>
      <c r="K9" s="18">
        <v>1881.92132397981</v>
      </c>
      <c r="L9" s="18">
        <v>14.7902473376654</v>
      </c>
      <c r="M9" s="18">
        <v>51.464720732516398</v>
      </c>
      <c r="N9" s="18">
        <v>9.8802012523868096E-2</v>
      </c>
      <c r="O9" s="18">
        <v>3.2240376473621E-3</v>
      </c>
      <c r="P9" s="18">
        <v>4.67921241678791E-3</v>
      </c>
      <c r="Q9" s="18">
        <v>1901.24368037983</v>
      </c>
      <c r="R9" s="18">
        <v>59.126045308303603</v>
      </c>
      <c r="S9" s="18">
        <v>85.812684473006499</v>
      </c>
      <c r="T9" s="18">
        <v>0.114790772076835</v>
      </c>
      <c r="U9" s="18">
        <v>2.0581605180264302E-3</v>
      </c>
      <c r="V9" s="18">
        <v>5.0876743579568104E-3</v>
      </c>
      <c r="W9" s="18">
        <v>1867.66540582841</v>
      </c>
      <c r="X9" s="18">
        <v>31.320802875593099</v>
      </c>
      <c r="Y9" s="18">
        <v>77.423526622489007</v>
      </c>
      <c r="Z9" s="18">
        <v>2.93248409554224</v>
      </c>
      <c r="AA9" s="18">
        <v>2.8325267854258099E-2</v>
      </c>
      <c r="AB9" s="18">
        <v>0.135971799949027</v>
      </c>
      <c r="AC9" s="18">
        <v>2.20177875064575</v>
      </c>
      <c r="AD9" s="18">
        <v>2.77203970320315E-2</v>
      </c>
      <c r="AE9" s="18">
        <v>60.240673594095</v>
      </c>
      <c r="AF9" s="18">
        <v>2.8574336957241502</v>
      </c>
      <c r="AG9" s="18">
        <v>26.766991630803801</v>
      </c>
      <c r="AH9" s="18">
        <v>1.3077365488197299</v>
      </c>
      <c r="AI9" s="18">
        <v>25.3761165179254</v>
      </c>
      <c r="AJ9" s="18">
        <v>1.43141640875238</v>
      </c>
      <c r="AL9" s="18">
        <v>0.30976472728450599</v>
      </c>
      <c r="AM9" s="18">
        <v>0.249344750896451</v>
      </c>
    </row>
    <row r="10" spans="1:39" x14ac:dyDescent="0.2">
      <c r="A10" s="18" t="s">
        <v>280</v>
      </c>
      <c r="B10" s="18">
        <v>4.8675114957380501</v>
      </c>
      <c r="C10" s="18">
        <v>5.6719581103766598E-2</v>
      </c>
      <c r="D10" s="18">
        <v>0.22665403456894001</v>
      </c>
      <c r="E10" s="18">
        <v>11403.7042294411</v>
      </c>
      <c r="F10" s="18">
        <v>63.921162482380602</v>
      </c>
      <c r="G10" s="18">
        <v>255.431882412232</v>
      </c>
      <c r="H10" s="18">
        <v>493.50300708847999</v>
      </c>
      <c r="I10" s="18">
        <v>6.0310464098966099</v>
      </c>
      <c r="J10" s="18">
        <v>30.6033327530435</v>
      </c>
      <c r="K10" s="18">
        <v>6297.7478106676199</v>
      </c>
      <c r="L10" s="18">
        <v>12.699288739593801</v>
      </c>
      <c r="M10" s="18">
        <v>64.439988123293404</v>
      </c>
      <c r="N10" s="18">
        <v>1.02880249104612</v>
      </c>
      <c r="O10" s="18">
        <v>1.1561470601532901E-2</v>
      </c>
      <c r="P10" s="18">
        <v>3.7155379332978598E-2</v>
      </c>
      <c r="Q10" s="18">
        <v>14287.159999190901</v>
      </c>
      <c r="R10" s="18">
        <v>114.593791789847</v>
      </c>
      <c r="S10" s="18">
        <v>368.272856447138</v>
      </c>
      <c r="T10" s="18">
        <v>0.73571647888331604</v>
      </c>
      <c r="U10" s="18">
        <v>5.7550714419005002E-3</v>
      </c>
      <c r="V10" s="18">
        <v>3.0375610574053601E-2</v>
      </c>
      <c r="W10" s="18">
        <v>4799.7690344212797</v>
      </c>
      <c r="X10" s="18">
        <v>11.138522932532499</v>
      </c>
      <c r="Y10" s="18">
        <v>58.789788864383198</v>
      </c>
      <c r="Z10" s="18">
        <v>0.20581741413604401</v>
      </c>
      <c r="AA10" s="18">
        <v>2.4426604341429101E-3</v>
      </c>
      <c r="AB10" s="18">
        <v>9.76098256909806E-3</v>
      </c>
      <c r="AC10" s="18">
        <v>0.101076228279692</v>
      </c>
      <c r="AD10" s="18">
        <v>1.23351495572725E-3</v>
      </c>
      <c r="AE10" s="18">
        <v>8.3245827168348594</v>
      </c>
      <c r="AF10" s="18">
        <v>0.43014542480801299</v>
      </c>
      <c r="AG10" s="18">
        <v>80.273793552288197</v>
      </c>
      <c r="AH10" s="18">
        <v>3.9455259473906401</v>
      </c>
      <c r="AI10" s="18">
        <v>785.63703031576495</v>
      </c>
      <c r="AJ10" s="18">
        <v>34.869487520036799</v>
      </c>
      <c r="AL10" s="18">
        <v>0.80695657677947996</v>
      </c>
      <c r="AM10" s="18">
        <v>0.305865378163724</v>
      </c>
    </row>
    <row r="11" spans="1:39" x14ac:dyDescent="0.2">
      <c r="A11" s="18" t="s">
        <v>281</v>
      </c>
      <c r="B11" s="18">
        <v>1.5744582156835401</v>
      </c>
      <c r="C11" s="18">
        <v>3.04603112860833E-2</v>
      </c>
      <c r="D11" s="18">
        <v>7.7234444173588199E-2</v>
      </c>
      <c r="E11" s="18">
        <v>6088.6249560695896</v>
      </c>
      <c r="F11" s="18">
        <v>77.828254441072005</v>
      </c>
      <c r="G11" s="18">
        <v>197.33947943936801</v>
      </c>
      <c r="H11" s="18">
        <v>158.24377456117401</v>
      </c>
      <c r="I11" s="18">
        <v>3.1007764041140802</v>
      </c>
      <c r="J11" s="18">
        <v>10.107742600468599</v>
      </c>
      <c r="K11" s="18">
        <v>5143.8164574419197</v>
      </c>
      <c r="L11" s="18">
        <v>20.237659140904999</v>
      </c>
      <c r="M11" s="18">
        <v>65.969622692201995</v>
      </c>
      <c r="N11" s="18">
        <v>1.4731603975566601</v>
      </c>
      <c r="O11" s="18">
        <v>3.7003664209691103E-2</v>
      </c>
      <c r="P11" s="18">
        <v>6.2656603893128604E-2</v>
      </c>
      <c r="Q11" s="18">
        <v>18221.476771786602</v>
      </c>
      <c r="R11" s="18">
        <v>297.28375550202998</v>
      </c>
      <c r="S11" s="18">
        <v>503.37691983147101</v>
      </c>
      <c r="T11" s="18">
        <v>0.72992495284619396</v>
      </c>
      <c r="U11" s="18">
        <v>9.8806730796072301E-3</v>
      </c>
      <c r="V11" s="18">
        <v>3.1193567209339499E-2</v>
      </c>
      <c r="W11" s="18">
        <v>4779.2611889678001</v>
      </c>
      <c r="X11" s="18">
        <v>18.777746473589598</v>
      </c>
      <c r="Y11" s="18">
        <v>59.281882109102</v>
      </c>
      <c r="Z11" s="18">
        <v>0.63991022372950201</v>
      </c>
      <c r="AA11" s="18">
        <v>1.2289143392578399E-2</v>
      </c>
      <c r="AB11" s="18">
        <v>3.11600610506222E-2</v>
      </c>
      <c r="AC11" s="18">
        <v>0.51097515212321298</v>
      </c>
      <c r="AD11" s="18">
        <v>1.17892616013638E-2</v>
      </c>
      <c r="AE11" s="18">
        <v>9.1080173894777605</v>
      </c>
      <c r="AF11" s="18">
        <v>0.54545690327888297</v>
      </c>
      <c r="AG11" s="18">
        <v>17.7263644690014</v>
      </c>
      <c r="AH11" s="18">
        <v>1.1117671087650201</v>
      </c>
      <c r="AI11" s="18">
        <v>242.36780274737501</v>
      </c>
      <c r="AJ11" s="18">
        <v>11.7736254687621</v>
      </c>
      <c r="AL11" s="18">
        <v>0.74091875876313396</v>
      </c>
      <c r="AM11" s="18">
        <v>0.34774678378378399</v>
      </c>
    </row>
    <row r="12" spans="1:39" x14ac:dyDescent="0.2">
      <c r="A12" s="18" t="s">
        <v>282</v>
      </c>
      <c r="B12" s="18">
        <v>7.8488534950434303</v>
      </c>
      <c r="C12" s="18">
        <v>0.103133029808471</v>
      </c>
      <c r="D12" s="18">
        <v>0.36847677120584998</v>
      </c>
      <c r="E12" s="18">
        <v>14039.0797765076</v>
      </c>
      <c r="F12" s="18">
        <v>75.086307984010105</v>
      </c>
      <c r="G12" s="18">
        <v>268.27060524739602</v>
      </c>
      <c r="H12" s="18">
        <v>836.85709742549705</v>
      </c>
      <c r="I12" s="18">
        <v>10.521194028118201</v>
      </c>
      <c r="J12" s="18">
        <v>51.953060157336701</v>
      </c>
      <c r="K12" s="18">
        <v>6833.0826096090796</v>
      </c>
      <c r="L12" s="18">
        <v>13.0338334605889</v>
      </c>
      <c r="M12" s="18">
        <v>64.360331351079395</v>
      </c>
      <c r="N12" s="18">
        <v>1.6131658706569101</v>
      </c>
      <c r="O12" s="18">
        <v>1.84432929533766E-2</v>
      </c>
      <c r="P12" s="18">
        <v>5.83696950406834E-2</v>
      </c>
      <c r="Q12" s="18">
        <v>19396.559669765698</v>
      </c>
      <c r="R12" s="18">
        <v>143.69508666039599</v>
      </c>
      <c r="S12" s="18">
        <v>454.76902679010698</v>
      </c>
      <c r="T12" s="18">
        <v>0.77674353151382303</v>
      </c>
      <c r="U12" s="18">
        <v>6.01357287010287E-3</v>
      </c>
      <c r="V12" s="18">
        <v>3.2051734635395103E-2</v>
      </c>
      <c r="W12" s="18">
        <v>4873.2787651623003</v>
      </c>
      <c r="X12" s="18">
        <v>10.544611252207099</v>
      </c>
      <c r="Y12" s="18">
        <v>56.201710528762803</v>
      </c>
      <c r="Z12" s="18">
        <v>0.127982553802414</v>
      </c>
      <c r="AA12" s="18">
        <v>1.6840859999602E-3</v>
      </c>
      <c r="AB12" s="18">
        <v>6.0169527924345103E-3</v>
      </c>
      <c r="AC12" s="18">
        <v>9.3355531183816301E-2</v>
      </c>
      <c r="AD12" s="18">
        <v>1.33705039002557E-3</v>
      </c>
      <c r="AE12" s="18">
        <v>7.3685217281891502</v>
      </c>
      <c r="AF12" s="18">
        <v>0.41971012389742501</v>
      </c>
      <c r="AG12" s="18">
        <v>76.553238746956794</v>
      </c>
      <c r="AH12" s="18">
        <v>3.6380219769706899</v>
      </c>
      <c r="AI12" s="18">
        <v>1172.85258895468</v>
      </c>
      <c r="AJ12" s="18">
        <v>55.432775554107799</v>
      </c>
      <c r="AL12" s="18">
        <v>0.81468980971950999</v>
      </c>
      <c r="AM12" s="18">
        <v>0.32551764644146503</v>
      </c>
    </row>
    <row r="13" spans="1:39" x14ac:dyDescent="0.2">
      <c r="A13" s="18" t="s">
        <v>283</v>
      </c>
      <c r="B13" s="18">
        <v>0.50941130275411295</v>
      </c>
      <c r="C13" s="18">
        <v>3.9355193897632401E-3</v>
      </c>
      <c r="D13" s="18">
        <v>2.3301568214828199E-2</v>
      </c>
      <c r="E13" s="18">
        <v>2653.3174782800902</v>
      </c>
      <c r="F13" s="18">
        <v>16.785505858012801</v>
      </c>
      <c r="G13" s="18">
        <v>99.384241578952896</v>
      </c>
      <c r="H13" s="18">
        <v>12.5230817918778</v>
      </c>
      <c r="I13" s="18">
        <v>0.110275797381523</v>
      </c>
      <c r="J13" s="18">
        <v>0.76933265053015498</v>
      </c>
      <c r="K13" s="18">
        <v>2643.2285314871001</v>
      </c>
      <c r="L13" s="18">
        <v>8.2864467743126102</v>
      </c>
      <c r="M13" s="18">
        <v>57.809911256439896</v>
      </c>
      <c r="N13" s="18">
        <v>0.13898638823042</v>
      </c>
      <c r="O13" s="18">
        <v>2.0118777651962202E-3</v>
      </c>
      <c r="P13" s="18">
        <v>5.1773174824864404E-3</v>
      </c>
      <c r="Q13" s="18">
        <v>2629.2445905422501</v>
      </c>
      <c r="R13" s="18">
        <v>35.6633316203948</v>
      </c>
      <c r="S13" s="18">
        <v>91.775153280235898</v>
      </c>
      <c r="T13" s="18">
        <v>0.17842581451903899</v>
      </c>
      <c r="U13" s="18">
        <v>1.6222164301443001E-3</v>
      </c>
      <c r="V13" s="18">
        <v>7.4123020240782801E-3</v>
      </c>
      <c r="W13" s="18">
        <v>2636.5348958171098</v>
      </c>
      <c r="X13" s="18">
        <v>15.564890960985</v>
      </c>
      <c r="Y13" s="18">
        <v>71.119778243402905</v>
      </c>
      <c r="Z13" s="18">
        <v>1.9600163506909301</v>
      </c>
      <c r="AA13" s="18">
        <v>1.5040881375406901E-2</v>
      </c>
      <c r="AB13" s="18">
        <v>8.9054604658234504E-2</v>
      </c>
      <c r="AC13" s="18">
        <v>1.1363341157336</v>
      </c>
      <c r="AD13" s="18">
        <v>1.0280283467994899E-2</v>
      </c>
      <c r="AE13" s="18">
        <v>136.083540608303</v>
      </c>
      <c r="AF13" s="18">
        <v>3.3465137612875</v>
      </c>
      <c r="AG13" s="18">
        <v>118.267980130403</v>
      </c>
      <c r="AH13" s="18">
        <v>2.44212704025604</v>
      </c>
      <c r="AI13" s="18">
        <v>155.21769992157999</v>
      </c>
      <c r="AJ13" s="18">
        <v>3.1807496038742298</v>
      </c>
      <c r="AL13" s="18">
        <v>0.39346350363329102</v>
      </c>
      <c r="AM13" s="18">
        <v>0.50458089302513998</v>
      </c>
    </row>
    <row r="14" spans="1:39" x14ac:dyDescent="0.2">
      <c r="A14" s="18" t="s">
        <v>339</v>
      </c>
      <c r="B14" s="18">
        <v>-0.74641474092120197</v>
      </c>
      <c r="C14" s="18">
        <v>1.7840946796545001</v>
      </c>
      <c r="D14" s="18">
        <v>1.7844118947752901</v>
      </c>
      <c r="E14" s="18">
        <v>9306.9311172758207</v>
      </c>
      <c r="F14" s="18">
        <v>1190.5528202819701</v>
      </c>
      <c r="G14" s="18">
        <v>1190.76450263325</v>
      </c>
      <c r="H14" s="18">
        <v>-17.337372117487199</v>
      </c>
      <c r="I14" s="18">
        <v>191.50342070522399</v>
      </c>
      <c r="J14" s="18">
        <v>191.50632089758901</v>
      </c>
      <c r="K14" s="18">
        <v>6332.8554787419798</v>
      </c>
      <c r="L14" s="18">
        <v>8.9878999280725402</v>
      </c>
      <c r="M14" s="18">
        <v>8.9880360438591396</v>
      </c>
      <c r="N14" s="18">
        <v>-141.30621124557001</v>
      </c>
      <c r="O14" s="18">
        <v>309.65576733531202</v>
      </c>
      <c r="P14" s="18">
        <v>309.69374667186003</v>
      </c>
      <c r="Q14" s="18">
        <v>98331.192432511001</v>
      </c>
      <c r="R14" s="18">
        <v>3874.5070753199102</v>
      </c>
      <c r="S14" s="18">
        <v>3874.9822843219399</v>
      </c>
      <c r="T14" s="18">
        <v>-0.120244172886575</v>
      </c>
      <c r="U14" s="18">
        <v>0.21043887173241499</v>
      </c>
      <c r="V14" s="18">
        <v>0.21049530130645899</v>
      </c>
      <c r="W14" s="18">
        <v>4379.83528067722</v>
      </c>
      <c r="X14" s="18">
        <v>2.6342876750819202</v>
      </c>
      <c r="Y14" s="18">
        <v>2.63499406421142</v>
      </c>
      <c r="Z14" s="18">
        <v>-0.39960720002293099</v>
      </c>
      <c r="AA14" s="18">
        <v>0.24490487359673599</v>
      </c>
      <c r="AB14" s="18">
        <v>0.24494841810698301</v>
      </c>
      <c r="AC14" s="18">
        <v>-115.756068989695</v>
      </c>
      <c r="AD14" s="18">
        <v>71.252305183020695</v>
      </c>
      <c r="AE14" s="18">
        <v>4.4096673347672304E-3</v>
      </c>
      <c r="AF14" s="18">
        <v>1.8555977888757499E-3</v>
      </c>
      <c r="AG14" s="18">
        <v>-7.3692419464046897E-5</v>
      </c>
      <c r="AH14" s="18">
        <v>8.2525480694697704E-6</v>
      </c>
      <c r="AI14" s="18">
        <v>5.8561057915857903E-2</v>
      </c>
      <c r="AJ14" s="18">
        <v>4.8279746182534597E-2</v>
      </c>
      <c r="AL14" s="18">
        <v>-0.17709857996357001</v>
      </c>
      <c r="AM14" s="18">
        <v>-8.6254884683136704E-2</v>
      </c>
    </row>
    <row r="15" spans="1:39" x14ac:dyDescent="0.2">
      <c r="A15" s="18" t="s">
        <v>284</v>
      </c>
      <c r="B15" s="18">
        <v>0.24007212194349201</v>
      </c>
      <c r="C15" s="18">
        <v>2.0780323200033099E-3</v>
      </c>
      <c r="D15" s="18">
        <v>1.10229658672605E-2</v>
      </c>
      <c r="E15" s="18">
        <v>1386.7443986404501</v>
      </c>
      <c r="F15" s="18">
        <v>10.7897613026973</v>
      </c>
      <c r="G15" s="18">
        <v>57.234514309831198</v>
      </c>
      <c r="H15" s="18">
        <v>2.8837576962961</v>
      </c>
      <c r="I15" s="18">
        <v>5.6250541771004803E-2</v>
      </c>
      <c r="J15" s="18">
        <v>0.18412123624343801</v>
      </c>
      <c r="K15" s="18">
        <v>1373.7862149192799</v>
      </c>
      <c r="L15" s="18">
        <v>14.7975248052607</v>
      </c>
      <c r="M15" s="18">
        <v>48.435774566920401</v>
      </c>
      <c r="N15" s="18">
        <v>7.22736061850386E-2</v>
      </c>
      <c r="O15" s="18">
        <v>2.2116676205725999E-3</v>
      </c>
      <c r="P15" s="18">
        <v>3.3234860061326101E-3</v>
      </c>
      <c r="Q15" s="18">
        <v>1408.8785852035401</v>
      </c>
      <c r="R15" s="18">
        <v>41.644067508212899</v>
      </c>
      <c r="S15" s="18">
        <v>62.578786393841</v>
      </c>
      <c r="T15" s="18">
        <v>8.7439584634982206E-2</v>
      </c>
      <c r="U15" s="18">
        <v>1.8025747569264E-3</v>
      </c>
      <c r="V15" s="18">
        <v>3.97626592269256E-3</v>
      </c>
      <c r="W15" s="18">
        <v>1350.06672841616</v>
      </c>
      <c r="X15" s="18">
        <v>40.612627257942599</v>
      </c>
      <c r="Y15" s="18">
        <v>89.586634438465893</v>
      </c>
      <c r="Z15" s="18">
        <v>4.1641545591569997</v>
      </c>
      <c r="AA15" s="18">
        <v>3.4844441923457301E-2</v>
      </c>
      <c r="AB15" s="18">
        <v>0.18483307034676</v>
      </c>
      <c r="AC15" s="18">
        <v>3.2392558486425198</v>
      </c>
      <c r="AD15" s="18">
        <v>4.7370316575774001E-2</v>
      </c>
      <c r="AE15" s="18">
        <v>126.08047404616801</v>
      </c>
      <c r="AF15" s="18">
        <v>3.4216066307934301</v>
      </c>
      <c r="AG15" s="18">
        <v>38.650988102325798</v>
      </c>
      <c r="AH15" s="18">
        <v>0.69812114517730195</v>
      </c>
      <c r="AI15" s="18">
        <v>26.008161914281001</v>
      </c>
      <c r="AJ15" s="18">
        <v>0.81570727654548603</v>
      </c>
      <c r="AL15" s="18">
        <v>8.3881793826140597E-2</v>
      </c>
      <c r="AM15" s="18">
        <v>0.352383880603442</v>
      </c>
    </row>
    <row r="16" spans="1:39" x14ac:dyDescent="0.2">
      <c r="A16" s="18" t="s">
        <v>285</v>
      </c>
      <c r="B16" s="18">
        <v>-1.4017039895243</v>
      </c>
      <c r="C16" s="18">
        <v>2.6668959250688902</v>
      </c>
      <c r="D16" s="18">
        <v>2.6676444170841802</v>
      </c>
      <c r="E16" s="18">
        <v>3421.3173297134099</v>
      </c>
      <c r="F16" s="18">
        <v>377.41692177991501</v>
      </c>
      <c r="G16" s="18">
        <v>377.52284775540397</v>
      </c>
      <c r="H16" s="18">
        <v>-1.8803698167542</v>
      </c>
      <c r="I16" s="18">
        <v>308.55527681489502</v>
      </c>
      <c r="J16" s="18">
        <v>308.55529808178801</v>
      </c>
      <c r="K16" s="18">
        <v>4692.2524593279504</v>
      </c>
      <c r="L16" s="18">
        <v>229.58720179010999</v>
      </c>
      <c r="M16" s="18">
        <v>229.5872176142</v>
      </c>
      <c r="N16" s="18">
        <v>-10.968305459457699</v>
      </c>
      <c r="O16" s="18">
        <v>7.8968352161685598</v>
      </c>
      <c r="P16" s="18">
        <v>7.9058040982211004</v>
      </c>
      <c r="Q16" s="18">
        <v>26623.295882633302</v>
      </c>
      <c r="R16" s="18">
        <v>2122.6173590437002</v>
      </c>
      <c r="S16" s="18">
        <v>2125.0281355402099</v>
      </c>
      <c r="T16" s="18">
        <v>0.64338538863793104</v>
      </c>
      <c r="U16" s="18">
        <v>0.178383602357406</v>
      </c>
      <c r="V16" s="18">
        <v>0.180280000495846</v>
      </c>
      <c r="W16" s="18">
        <v>4284.9942533590802</v>
      </c>
      <c r="X16" s="18">
        <v>127.24122286298</v>
      </c>
      <c r="Y16" s="18">
        <v>128.593925773904</v>
      </c>
      <c r="Z16" s="18">
        <v>1.3484894896153801</v>
      </c>
      <c r="AA16" s="18">
        <v>0.16475502426378599</v>
      </c>
      <c r="AB16" s="18">
        <v>0.16480126447098101</v>
      </c>
      <c r="AC16" s="18">
        <v>-11.9783478727014</v>
      </c>
      <c r="AD16" s="18">
        <v>7.3432016539927396</v>
      </c>
      <c r="AE16" s="18">
        <v>0.33401147300593598</v>
      </c>
      <c r="AF16" s="18">
        <v>4.5984368216066503E-2</v>
      </c>
      <c r="AG16" s="18">
        <v>0.12966176458348799</v>
      </c>
      <c r="AH16" s="18">
        <v>2.2284046347569701E-2</v>
      </c>
      <c r="AI16" s="18">
        <v>3.3487139170945399</v>
      </c>
      <c r="AJ16" s="18">
        <v>0.52107847438532795</v>
      </c>
      <c r="AL16" s="18">
        <v>0.54972079612222902</v>
      </c>
      <c r="AM16" s="18">
        <v>0.50132817374822802</v>
      </c>
    </row>
    <row r="17" spans="1:39" x14ac:dyDescent="0.2">
      <c r="A17" s="18" t="s">
        <v>286</v>
      </c>
      <c r="B17" s="18">
        <v>3.0134227914801599</v>
      </c>
      <c r="C17" s="18">
        <v>6.15978811217524E-2</v>
      </c>
      <c r="D17" s="18">
        <v>0.14919449149250399</v>
      </c>
      <c r="E17" s="18">
        <v>8943.2244051508205</v>
      </c>
      <c r="F17" s="18">
        <v>101.436208616084</v>
      </c>
      <c r="G17" s="18">
        <v>245.685781520494</v>
      </c>
      <c r="H17" s="18">
        <v>309.47059838488201</v>
      </c>
      <c r="I17" s="18">
        <v>6.3585486864180503</v>
      </c>
      <c r="J17" s="18">
        <v>19.860810119195701</v>
      </c>
      <c r="K17" s="18">
        <v>5818.4492522550399</v>
      </c>
      <c r="L17" s="18">
        <v>21.096386056609401</v>
      </c>
      <c r="M17" s="18">
        <v>65.894174651290598</v>
      </c>
      <c r="N17" s="18">
        <v>-1949.1926662780299</v>
      </c>
      <c r="O17" s="18">
        <v>543.08672254849205</v>
      </c>
      <c r="P17" s="18">
        <v>547.19213207889004</v>
      </c>
      <c r="Q17" s="18">
        <v>67245.845754601702</v>
      </c>
      <c r="R17" s="18">
        <v>7304.1707439906904</v>
      </c>
      <c r="S17" s="18">
        <v>7359.3858890844904</v>
      </c>
      <c r="T17" s="18">
        <v>0.74654591813064097</v>
      </c>
      <c r="U17" s="18">
        <v>9.5427282948334999E-3</v>
      </c>
      <c r="V17" s="18">
        <v>3.17323305352189E-2</v>
      </c>
      <c r="W17" s="18">
        <v>4803.1494872940302</v>
      </c>
      <c r="X17" s="18">
        <v>16.344900610686299</v>
      </c>
      <c r="Y17" s="18">
        <v>54.351520101898501</v>
      </c>
      <c r="Z17" s="18">
        <v>0.33555844630804899</v>
      </c>
      <c r="AA17" s="18">
        <v>7.0233225528190798E-3</v>
      </c>
      <c r="AB17" s="18">
        <v>1.7010991575904199E-2</v>
      </c>
      <c r="AC17" s="18">
        <v>-335.81487664896503</v>
      </c>
      <c r="AD17" s="18">
        <v>93.095843033648094</v>
      </c>
      <c r="AE17" s="18">
        <v>3.8498961708656001</v>
      </c>
      <c r="AF17" s="18">
        <v>0.22225829559872001</v>
      </c>
      <c r="AG17" s="18">
        <v>5.7367412730468601</v>
      </c>
      <c r="AH17" s="18">
        <v>1.68851405261609</v>
      </c>
      <c r="AI17" s="18">
        <v>220.976056246605</v>
      </c>
      <c r="AJ17" s="18">
        <v>13.057424207178199</v>
      </c>
      <c r="AL17" s="18">
        <v>0.83703275804645005</v>
      </c>
      <c r="AM17" s="18">
        <v>0.35394284200242998</v>
      </c>
    </row>
    <row r="18" spans="1:39" x14ac:dyDescent="0.2">
      <c r="A18" s="18" t="s">
        <v>287</v>
      </c>
      <c r="B18" s="18">
        <v>7.4714791229158104</v>
      </c>
      <c r="C18" s="18">
        <v>0.167825635715045</v>
      </c>
      <c r="D18" s="18">
        <v>0.37619552985259802</v>
      </c>
      <c r="E18" s="18">
        <v>13729.138206022801</v>
      </c>
      <c r="F18" s="18">
        <v>126.021680684142</v>
      </c>
      <c r="G18" s="18">
        <v>282.48838585293601</v>
      </c>
      <c r="H18" s="18">
        <v>759.33720031481801</v>
      </c>
      <c r="I18" s="18">
        <v>16.798575901997602</v>
      </c>
      <c r="J18" s="18">
        <v>49.1211410560093</v>
      </c>
      <c r="K18" s="18">
        <v>6726.9398627684104</v>
      </c>
      <c r="L18" s="18">
        <v>22.270013302776199</v>
      </c>
      <c r="M18" s="18">
        <v>65.120309670701999</v>
      </c>
      <c r="N18" s="18">
        <v>0.39653704842210402</v>
      </c>
      <c r="O18" s="18">
        <v>6.2074806689191697E-3</v>
      </c>
      <c r="P18" s="18">
        <v>1.49598983603671E-2</v>
      </c>
      <c r="Q18" s="18">
        <v>6743.5630675324301</v>
      </c>
      <c r="R18" s="18">
        <v>89.800728108860994</v>
      </c>
      <c r="S18" s="18">
        <v>216.41787334465101</v>
      </c>
      <c r="T18" s="18">
        <v>0.74233147659131704</v>
      </c>
      <c r="U18" s="18">
        <v>7.7983670160998199E-3</v>
      </c>
      <c r="V18" s="18">
        <v>3.1082164194167702E-2</v>
      </c>
      <c r="W18" s="18">
        <v>4808.1173199105797</v>
      </c>
      <c r="X18" s="18">
        <v>14.669270408904399</v>
      </c>
      <c r="Y18" s="18">
        <v>58.467711319163698</v>
      </c>
      <c r="Z18" s="18">
        <v>0.13563828799441199</v>
      </c>
      <c r="AA18" s="18">
        <v>3.0688161346767201E-3</v>
      </c>
      <c r="AB18" s="18">
        <v>6.8790140843864901E-3</v>
      </c>
      <c r="AC18" s="18">
        <v>2.4039738326203399E-2</v>
      </c>
      <c r="AD18" s="18">
        <v>5.8090921493833699E-4</v>
      </c>
      <c r="AE18" s="18">
        <v>3.1679497343587202</v>
      </c>
      <c r="AF18" s="18">
        <v>0.199221699212496</v>
      </c>
      <c r="AG18" s="18">
        <v>130.80168371279001</v>
      </c>
      <c r="AH18" s="18">
        <v>6.2378423566836601</v>
      </c>
      <c r="AI18" s="18">
        <v>475.62426751711001</v>
      </c>
      <c r="AJ18" s="18">
        <v>20.733005288882499</v>
      </c>
      <c r="AL18" s="18">
        <v>0.87307442680737202</v>
      </c>
      <c r="AM18" s="18">
        <v>0.22816466506871499</v>
      </c>
    </row>
    <row r="19" spans="1:39" x14ac:dyDescent="0.2">
      <c r="A19" s="18" t="s">
        <v>288</v>
      </c>
      <c r="B19" s="18">
        <v>0.23554478506116799</v>
      </c>
      <c r="C19" s="18">
        <v>2.0897798759797501E-3</v>
      </c>
      <c r="D19" s="18">
        <v>1.08211209530149E-2</v>
      </c>
      <c r="E19" s="18">
        <v>1363.15945358352</v>
      </c>
      <c r="F19" s="18">
        <v>10.9089991852724</v>
      </c>
      <c r="G19" s="18">
        <v>56.488054563559899</v>
      </c>
      <c r="H19" s="18">
        <v>2.8044921578438702</v>
      </c>
      <c r="I19" s="18">
        <v>6.8845935244965795E-2</v>
      </c>
      <c r="J19" s="18">
        <v>0.18387206731571201</v>
      </c>
      <c r="K19" s="18">
        <v>1350.76891767906</v>
      </c>
      <c r="L19" s="18">
        <v>18.261931043590099</v>
      </c>
      <c r="M19" s="18">
        <v>48.7735260217476</v>
      </c>
      <c r="N19" s="18">
        <v>6.8696152433310106E-2</v>
      </c>
      <c r="O19" s="18">
        <v>2.6026634077921302E-3</v>
      </c>
      <c r="P19" s="18">
        <v>3.51189296810989E-3</v>
      </c>
      <c r="Q19" s="18">
        <v>1340.71921652386</v>
      </c>
      <c r="R19" s="18">
        <v>49.149846479274302</v>
      </c>
      <c r="S19" s="18">
        <v>66.3201394838336</v>
      </c>
      <c r="T19" s="18">
        <v>8.6205040873399405E-2</v>
      </c>
      <c r="U19" s="18">
        <v>2.0960471893368099E-3</v>
      </c>
      <c r="V19" s="18">
        <v>4.0745173761128602E-3</v>
      </c>
      <c r="W19" s="18">
        <v>1327.0148222134101</v>
      </c>
      <c r="X19" s="18">
        <v>46.338973444531</v>
      </c>
      <c r="Y19" s="18">
        <v>90.078579075651902</v>
      </c>
      <c r="Z19" s="18">
        <v>4.2436951672576999</v>
      </c>
      <c r="AA19" s="18">
        <v>3.6791013359798001E-2</v>
      </c>
      <c r="AB19" s="18">
        <v>0.19050810572271901</v>
      </c>
      <c r="AC19" s="18">
        <v>2.4362323979865801</v>
      </c>
      <c r="AD19" s="18">
        <v>3.7071141234643397E-2</v>
      </c>
      <c r="AE19" s="18">
        <v>64.199057789784106</v>
      </c>
      <c r="AF19" s="18">
        <v>2.7705987352423</v>
      </c>
      <c r="AG19" s="18">
        <v>27.1238210930746</v>
      </c>
      <c r="AH19" s="18">
        <v>1.4464154058826899</v>
      </c>
      <c r="AI19" s="18">
        <v>16.911640677282701</v>
      </c>
      <c r="AJ19" s="18">
        <v>0.93992777260897498</v>
      </c>
      <c r="AL19" s="18">
        <v>0.14836454142049499</v>
      </c>
      <c r="AM19" s="18">
        <v>0.21921713866359499</v>
      </c>
    </row>
    <row r="20" spans="1:39" x14ac:dyDescent="0.2">
      <c r="A20" s="18" t="s">
        <v>289</v>
      </c>
      <c r="B20" s="18">
        <v>-52.829706668809102</v>
      </c>
      <c r="C20" s="18">
        <v>145.653679979152</v>
      </c>
      <c r="D20" s="18">
        <v>145.67313790769299</v>
      </c>
      <c r="E20" s="18">
        <v>28811.553513230701</v>
      </c>
      <c r="F20" s="18">
        <v>3257.23722111595</v>
      </c>
      <c r="G20" s="18">
        <v>3257.6723566312198</v>
      </c>
      <c r="H20" s="18">
        <v>21326.636147687499</v>
      </c>
      <c r="I20" s="18">
        <v>31187.076355054302</v>
      </c>
      <c r="J20" s="18">
        <v>31214.015106075101</v>
      </c>
      <c r="K20" s="18">
        <v>10738.338252650399</v>
      </c>
      <c r="L20" s="18">
        <v>394.20409161544001</v>
      </c>
      <c r="M20" s="18">
        <v>394.54459695023002</v>
      </c>
      <c r="N20" s="18">
        <v>0.39055894285577097</v>
      </c>
      <c r="O20" s="18">
        <v>2.07969627500347</v>
      </c>
      <c r="P20" s="18">
        <v>2.0797394809393599</v>
      </c>
      <c r="Q20" s="18">
        <v>35844.018083659699</v>
      </c>
      <c r="R20" s="18">
        <v>34.314892659284801</v>
      </c>
      <c r="S20" s="18">
        <v>34.315605555235102</v>
      </c>
      <c r="T20" s="18">
        <v>-0.69626951027519302</v>
      </c>
      <c r="U20" s="18">
        <v>0.73327402133935404</v>
      </c>
      <c r="V20" s="18">
        <v>0.73381690407117095</v>
      </c>
      <c r="W20" s="18">
        <v>3444.6004863705698</v>
      </c>
      <c r="X20" s="18">
        <v>0</v>
      </c>
      <c r="Y20" s="18">
        <v>0</v>
      </c>
      <c r="Z20" s="18">
        <v>-0.70464763495931004</v>
      </c>
      <c r="AA20" s="18">
        <v>0.48399193842872301</v>
      </c>
      <c r="AB20" s="18">
        <v>0.48405659508932702</v>
      </c>
      <c r="AC20" s="18">
        <v>-1.00346885268908</v>
      </c>
      <c r="AD20" s="18">
        <v>0.58011256851402704</v>
      </c>
      <c r="AE20" s="18">
        <v>2.2688111226752202E-3</v>
      </c>
      <c r="AF20" s="18">
        <v>1.3116226366702501E-3</v>
      </c>
      <c r="AG20" s="18">
        <v>-2.28832940223161E-3</v>
      </c>
      <c r="AH20" s="18">
        <v>9.1741858457574105E-6</v>
      </c>
      <c r="AI20" s="18">
        <v>-9.4323929774428796E-3</v>
      </c>
      <c r="AJ20" s="18">
        <v>4.3850514723655698E-2</v>
      </c>
      <c r="AL20" s="18">
        <v>0.46460873351558202</v>
      </c>
      <c r="AM20" s="18">
        <v>3.6328489298784197E-2</v>
      </c>
    </row>
    <row r="21" spans="1:39" x14ac:dyDescent="0.2">
      <c r="A21" s="18" t="s">
        <v>290</v>
      </c>
      <c r="B21" s="18">
        <v>5.8487111919208603</v>
      </c>
      <c r="C21" s="18">
        <v>0.11860332492091399</v>
      </c>
      <c r="D21" s="18">
        <v>0.288996295632793</v>
      </c>
      <c r="E21" s="18">
        <v>12382.180612710201</v>
      </c>
      <c r="F21" s="18">
        <v>113.460435615469</v>
      </c>
      <c r="G21" s="18">
        <v>276.46480919163002</v>
      </c>
      <c r="H21" s="18">
        <v>623.77592871282002</v>
      </c>
      <c r="I21" s="18">
        <v>10.189377913674599</v>
      </c>
      <c r="J21" s="18">
        <v>39.263097599970003</v>
      </c>
      <c r="K21" s="18">
        <v>6531.4905912363602</v>
      </c>
      <c r="L21" s="18">
        <v>16.667042539743999</v>
      </c>
      <c r="M21" s="18">
        <v>64.223716451088706</v>
      </c>
      <c r="N21" s="18">
        <v>28.615664129727701</v>
      </c>
      <c r="O21" s="18">
        <v>1.6086261295645401</v>
      </c>
      <c r="P21" s="18">
        <v>1.8847857287106999</v>
      </c>
      <c r="Q21" s="18">
        <v>67683.026359428797</v>
      </c>
      <c r="R21" s="18">
        <v>1115.5336118938301</v>
      </c>
      <c r="S21" s="18">
        <v>1307.04194899765</v>
      </c>
      <c r="T21" s="18">
        <v>0.78066803218976999</v>
      </c>
      <c r="U21" s="18">
        <v>7.0857903055304497E-3</v>
      </c>
      <c r="V21" s="18">
        <v>3.2422075337889197E-2</v>
      </c>
      <c r="W21" s="18">
        <v>4869.16153202437</v>
      </c>
      <c r="X21" s="18">
        <v>11.6126220612623</v>
      </c>
      <c r="Y21" s="18">
        <v>53.135259597905304</v>
      </c>
      <c r="Z21" s="18">
        <v>0.17231485868128699</v>
      </c>
      <c r="AA21" s="18">
        <v>3.42735026243412E-3</v>
      </c>
      <c r="AB21" s="18">
        <v>8.3512964779023906E-3</v>
      </c>
      <c r="AC21" s="18">
        <v>2.3620570718662002</v>
      </c>
      <c r="AD21" s="18">
        <v>0.14673971693097901</v>
      </c>
      <c r="AE21" s="18">
        <v>6.1487081394578897</v>
      </c>
      <c r="AF21" s="18">
        <v>0.42437035386315602</v>
      </c>
      <c r="AG21" s="18">
        <v>2.7324767905262202</v>
      </c>
      <c r="AH21" s="18">
        <v>0.18136442485273799</v>
      </c>
      <c r="AI21" s="18">
        <v>677.86308588716702</v>
      </c>
      <c r="AJ21" s="18">
        <v>33.809520966573103</v>
      </c>
      <c r="AL21" s="18">
        <v>0.87402412770967997</v>
      </c>
      <c r="AM21" s="18">
        <v>0.45069910286874398</v>
      </c>
    </row>
    <row r="22" spans="1:39" x14ac:dyDescent="0.2">
      <c r="A22" s="18" t="s">
        <v>291</v>
      </c>
      <c r="B22" s="18">
        <v>7.9962256238829399</v>
      </c>
      <c r="C22" s="18">
        <v>0.16176330315585</v>
      </c>
      <c r="D22" s="18">
        <v>0.39502912436819099</v>
      </c>
      <c r="E22" s="18">
        <v>14124.014272192901</v>
      </c>
      <c r="F22" s="18">
        <v>115.414850508778</v>
      </c>
      <c r="G22" s="18">
        <v>281.84530388602798</v>
      </c>
      <c r="H22" s="18">
        <v>850.02106014564197</v>
      </c>
      <c r="I22" s="18">
        <v>17.8795119949583</v>
      </c>
      <c r="J22" s="18">
        <v>54.679300392024203</v>
      </c>
      <c r="K22" s="18">
        <v>6842.2298800782901</v>
      </c>
      <c r="L22" s="18">
        <v>21.0987870067665</v>
      </c>
      <c r="M22" s="18">
        <v>64.5245190682854</v>
      </c>
      <c r="N22" s="18">
        <v>0.97794060625697199</v>
      </c>
      <c r="O22" s="18">
        <v>4.3725956958559797E-2</v>
      </c>
      <c r="P22" s="18">
        <v>5.51249516492376E-2</v>
      </c>
      <c r="Q22" s="18">
        <v>13668.193419843101</v>
      </c>
      <c r="R22" s="18">
        <v>441.55924082644702</v>
      </c>
      <c r="S22" s="18">
        <v>556.67007640108295</v>
      </c>
      <c r="T22" s="18">
        <v>0.77024262888567296</v>
      </c>
      <c r="U22" s="18">
        <v>8.1729329659807597E-3</v>
      </c>
      <c r="V22" s="18">
        <v>3.2273794108254102E-2</v>
      </c>
      <c r="W22" s="18">
        <v>4849.3029420601397</v>
      </c>
      <c r="X22" s="18">
        <v>13.9646440060688</v>
      </c>
      <c r="Y22" s="18">
        <v>55.144468616456599</v>
      </c>
      <c r="Z22" s="18">
        <v>0.12631660708280201</v>
      </c>
      <c r="AA22" s="18">
        <v>2.6087981603010102E-3</v>
      </c>
      <c r="AB22" s="18">
        <v>6.3707357157770997E-3</v>
      </c>
      <c r="AC22" s="18">
        <v>5.2619109684752502E-2</v>
      </c>
      <c r="AD22" s="18">
        <v>2.4885322213719298E-3</v>
      </c>
      <c r="AE22" s="18">
        <v>2.95556386300535</v>
      </c>
      <c r="AF22" s="18">
        <v>0.135106549797992</v>
      </c>
      <c r="AG22" s="18">
        <v>57.315660022014598</v>
      </c>
      <c r="AH22" s="18">
        <v>2.8009340796261499</v>
      </c>
      <c r="AI22" s="18">
        <v>483.63744777553899</v>
      </c>
      <c r="AJ22" s="18">
        <v>16.513381603473999</v>
      </c>
      <c r="AL22" s="18">
        <v>0.87128984634706697</v>
      </c>
      <c r="AM22" s="18">
        <v>0.23883549298673301</v>
      </c>
    </row>
    <row r="23" spans="1:39" x14ac:dyDescent="0.2">
      <c r="A23" s="18" t="s">
        <v>292</v>
      </c>
      <c r="B23" s="18">
        <v>14.9312746204465</v>
      </c>
      <c r="C23" s="18">
        <v>0.36323929100549102</v>
      </c>
      <c r="D23" s="18">
        <v>0.76490265385580802</v>
      </c>
      <c r="E23" s="18">
        <v>17801.433077011501</v>
      </c>
      <c r="F23" s="18">
        <v>151.94386700928399</v>
      </c>
      <c r="G23" s="18">
        <v>319.96061546865599</v>
      </c>
      <c r="H23" s="18">
        <v>1535.35706271562</v>
      </c>
      <c r="I23" s="18">
        <v>39.377985826637499</v>
      </c>
      <c r="J23" s="18">
        <v>101.308111230535</v>
      </c>
      <c r="K23" s="18">
        <v>7438.0072413716798</v>
      </c>
      <c r="L23" s="18">
        <v>25.8534737392885</v>
      </c>
      <c r="M23" s="18">
        <v>66.513472903528097</v>
      </c>
      <c r="N23" s="18">
        <v>55.512994339852497</v>
      </c>
      <c r="O23" s="18">
        <v>2.90637127847309</v>
      </c>
      <c r="P23" s="18">
        <v>3.4752749930590099</v>
      </c>
      <c r="Q23" s="18">
        <v>80721.968936433303</v>
      </c>
      <c r="R23" s="18">
        <v>1047.7200458617799</v>
      </c>
      <c r="S23" s="18">
        <v>1252.8045890348201</v>
      </c>
      <c r="T23" s="18">
        <v>0.745365788221104</v>
      </c>
      <c r="U23" s="18">
        <v>9.9363251357416499E-3</v>
      </c>
      <c r="V23" s="18">
        <v>3.1804990323184297E-2</v>
      </c>
      <c r="W23" s="18">
        <v>4804.4994431694204</v>
      </c>
      <c r="X23" s="18">
        <v>16.602667813738599</v>
      </c>
      <c r="Y23" s="18">
        <v>53.143157247901897</v>
      </c>
      <c r="Z23" s="18">
        <v>6.7878983210132193E-2</v>
      </c>
      <c r="AA23" s="18">
        <v>1.67631978622815E-3</v>
      </c>
      <c r="AB23" s="18">
        <v>3.52996353904216E-3</v>
      </c>
      <c r="AC23" s="18">
        <v>1.68029356391146</v>
      </c>
      <c r="AD23" s="18">
        <v>8.5175650245014695E-2</v>
      </c>
      <c r="AE23" s="18">
        <v>2.0471559879758798</v>
      </c>
      <c r="AF23" s="18">
        <v>0.123221710220617</v>
      </c>
      <c r="AG23" s="18">
        <v>1.2681327687378099</v>
      </c>
      <c r="AH23" s="18">
        <v>9.0937560013545096E-2</v>
      </c>
      <c r="AI23" s="18">
        <v>600.29200724794498</v>
      </c>
      <c r="AJ23" s="18">
        <v>33.916717306877302</v>
      </c>
      <c r="AL23" s="18">
        <v>0.85757906768669001</v>
      </c>
      <c r="AM23" s="18">
        <v>0.26967473544424497</v>
      </c>
    </row>
    <row r="24" spans="1:39" x14ac:dyDescent="0.2">
      <c r="A24" s="18" t="s">
        <v>293</v>
      </c>
      <c r="B24" s="18">
        <v>0.20948063753433599</v>
      </c>
      <c r="C24" s="18">
        <v>1.5578670128689701E-3</v>
      </c>
      <c r="D24" s="18">
        <v>9.5720757623255302E-3</v>
      </c>
      <c r="E24" s="18">
        <v>1225.85506531326</v>
      </c>
      <c r="F24" s="18">
        <v>8.3027892057707309</v>
      </c>
      <c r="G24" s="18">
        <v>51.015219309313899</v>
      </c>
      <c r="H24" s="18">
        <v>2.3318487807214998</v>
      </c>
      <c r="I24" s="18">
        <v>4.0763410081311902E-2</v>
      </c>
      <c r="J24" s="18">
        <v>0.14750961198677401</v>
      </c>
      <c r="K24" s="18">
        <v>1219.25142856402</v>
      </c>
      <c r="L24" s="18">
        <v>12.481928107680099</v>
      </c>
      <c r="M24" s="18">
        <v>45.168065388494099</v>
      </c>
      <c r="N24" s="18">
        <v>5.5212010930279699E-2</v>
      </c>
      <c r="O24" s="18">
        <v>1.2229417034057099E-3</v>
      </c>
      <c r="P24" s="18">
        <v>2.25561929835155E-3</v>
      </c>
      <c r="Q24" s="18">
        <v>1085.7433423012401</v>
      </c>
      <c r="R24" s="18">
        <v>23.453979644468099</v>
      </c>
      <c r="S24" s="18">
        <v>43.259011416389797</v>
      </c>
      <c r="T24" s="18">
        <v>8.0844135220290506E-2</v>
      </c>
      <c r="U24" s="18">
        <v>1.4718378106058699E-3</v>
      </c>
      <c r="V24" s="18">
        <v>3.5921645547593098E-3</v>
      </c>
      <c r="W24" s="18">
        <v>1201.3432529208101</v>
      </c>
      <c r="X24" s="18">
        <v>36.208319234386202</v>
      </c>
      <c r="Y24" s="18">
        <v>88.369954898516497</v>
      </c>
      <c r="Z24" s="18">
        <v>4.7707932900622501</v>
      </c>
      <c r="AA24" s="18">
        <v>3.5608064753424998E-2</v>
      </c>
      <c r="AB24" s="18">
        <v>0.21878831168129101</v>
      </c>
      <c r="AC24" s="18">
        <v>0.72471959175575396</v>
      </c>
      <c r="AD24" s="18">
        <v>8.5613790731877294E-3</v>
      </c>
      <c r="AE24" s="18">
        <v>180.79182008835801</v>
      </c>
      <c r="AF24" s="18">
        <v>4.3839655449059904</v>
      </c>
      <c r="AG24" s="18">
        <v>246.88639288498001</v>
      </c>
      <c r="AH24" s="18">
        <v>5.2955347496407699</v>
      </c>
      <c r="AI24" s="18">
        <v>123.24567675192699</v>
      </c>
      <c r="AJ24" s="18">
        <v>3.9832964137753</v>
      </c>
      <c r="AL24" s="18">
        <v>0.11411746885261501</v>
      </c>
      <c r="AM24" s="18">
        <v>0.319518647436346</v>
      </c>
    </row>
    <row r="25" spans="1:39" x14ac:dyDescent="0.2">
      <c r="A25" s="18" t="s">
        <v>340</v>
      </c>
      <c r="B25" s="18">
        <v>0.98518797333729502</v>
      </c>
      <c r="C25" s="18">
        <v>4.2346063102872096</v>
      </c>
      <c r="D25" s="18">
        <v>4.2348391489353103</v>
      </c>
      <c r="E25" s="18">
        <v>16315.135873867401</v>
      </c>
      <c r="F25" s="18">
        <v>170.08139224257701</v>
      </c>
      <c r="G25" s="18">
        <v>170.09074412054099</v>
      </c>
      <c r="H25" s="18">
        <v>-15.385049810268301</v>
      </c>
      <c r="I25" s="18">
        <v>587.50523382540905</v>
      </c>
      <c r="J25" s="18">
        <v>587.50597889498397</v>
      </c>
      <c r="K25" s="18">
        <v>7404.5724988145403</v>
      </c>
      <c r="L25" s="18">
        <v>13.202679296671301</v>
      </c>
      <c r="M25" s="18">
        <v>13.2026960402067</v>
      </c>
      <c r="N25" s="18">
        <v>12.9235019964394</v>
      </c>
      <c r="O25" s="18">
        <v>9.03321476839354</v>
      </c>
      <c r="P25" s="18">
        <v>9.0441005636244398</v>
      </c>
      <c r="Q25" s="18">
        <v>67091.915251795799</v>
      </c>
      <c r="R25" s="18">
        <v>1125.9894568975201</v>
      </c>
      <c r="S25" s="18">
        <v>1127.3463703523901</v>
      </c>
      <c r="T25" s="18">
        <v>0.16750344473974399</v>
      </c>
      <c r="U25" s="18">
        <v>0.31342956005107397</v>
      </c>
      <c r="V25" s="18">
        <v>0.31350309242830798</v>
      </c>
      <c r="W25" s="18">
        <v>4163.0033809011202</v>
      </c>
      <c r="X25" s="18">
        <v>0</v>
      </c>
      <c r="Y25" s="18">
        <v>0</v>
      </c>
      <c r="Z25" s="18">
        <v>8.0047425901223906E-2</v>
      </c>
      <c r="AA25" s="18">
        <v>1.8002849053347099E-2</v>
      </c>
      <c r="AB25" s="18">
        <v>1.8003838934986201E-2</v>
      </c>
      <c r="AC25" s="18">
        <v>0.400093924234454</v>
      </c>
      <c r="AD25" s="18">
        <v>1.0109732057980101</v>
      </c>
      <c r="AE25" s="18">
        <v>-4.0355395251681701E-4</v>
      </c>
      <c r="AF25" s="18">
        <v>1.2309616545685101E-6</v>
      </c>
      <c r="AG25" s="18">
        <v>-3.9850366620091402E-4</v>
      </c>
      <c r="AH25" s="18">
        <v>2.1380858979527198E-5</v>
      </c>
      <c r="AI25" s="18">
        <v>1.91401858748973E-3</v>
      </c>
      <c r="AJ25" s="18">
        <v>4.4651448549142603E-2</v>
      </c>
      <c r="AL25" s="18">
        <v>0.152398884653239</v>
      </c>
      <c r="AM25" s="18">
        <v>-6.2079649704272599E-2</v>
      </c>
    </row>
    <row r="26" spans="1:39" x14ac:dyDescent="0.2">
      <c r="A26" s="18" t="s">
        <v>294</v>
      </c>
      <c r="B26" s="18">
        <v>3.3368288798661601</v>
      </c>
      <c r="C26" s="18">
        <v>5.59457685833658E-2</v>
      </c>
      <c r="D26" s="18">
        <v>0.16051561626232899</v>
      </c>
      <c r="E26" s="18">
        <v>9437.9272322924498</v>
      </c>
      <c r="F26" s="18">
        <v>84.204151969042599</v>
      </c>
      <c r="G26" s="18">
        <v>241.592558068393</v>
      </c>
      <c r="H26" s="18">
        <v>347.091238640489</v>
      </c>
      <c r="I26" s="18">
        <v>5.1868018877271398</v>
      </c>
      <c r="J26" s="18">
        <v>21.7312202059253</v>
      </c>
      <c r="K26" s="18">
        <v>5940.2116905196099</v>
      </c>
      <c r="L26" s="18">
        <v>14.9390040349289</v>
      </c>
      <c r="M26" s="18">
        <v>62.5901650703887</v>
      </c>
      <c r="N26" s="18">
        <v>12.134697917201301</v>
      </c>
      <c r="O26" s="18">
        <v>0.52563416666009899</v>
      </c>
      <c r="P26" s="18">
        <v>0.67064100004528904</v>
      </c>
      <c r="Q26" s="18">
        <v>51454.661880632098</v>
      </c>
      <c r="R26" s="18">
        <v>818.79550296905302</v>
      </c>
      <c r="S26" s="18">
        <v>1044.67682995736</v>
      </c>
      <c r="T26" s="18">
        <v>0.75764369551047295</v>
      </c>
      <c r="U26" s="18">
        <v>7.8737655372090997E-3</v>
      </c>
      <c r="V26" s="18">
        <v>3.1704312780640197E-2</v>
      </c>
      <c r="W26" s="18">
        <v>4833.4741212891204</v>
      </c>
      <c r="X26" s="18">
        <v>13.878009410559301</v>
      </c>
      <c r="Y26" s="18">
        <v>55.880855106208401</v>
      </c>
      <c r="Z26" s="18">
        <v>0.30069632695894299</v>
      </c>
      <c r="AA26" s="18">
        <v>4.95569305224352E-3</v>
      </c>
      <c r="AB26" s="18">
        <v>1.42185216939592E-2</v>
      </c>
      <c r="AC26" s="18">
        <v>1.66037154717976</v>
      </c>
      <c r="AD26" s="18">
        <v>7.3999417150229493E-2</v>
      </c>
      <c r="AE26" s="18">
        <v>8.7644833061611394</v>
      </c>
      <c r="AF26" s="18">
        <v>0.38115214094584399</v>
      </c>
      <c r="AG26" s="18">
        <v>5.7225202443998899</v>
      </c>
      <c r="AH26" s="18">
        <v>0.431878397809212</v>
      </c>
      <c r="AI26" s="18">
        <v>567.48215400264803</v>
      </c>
      <c r="AJ26" s="18">
        <v>23.7457811220971</v>
      </c>
      <c r="AL26" s="18">
        <v>0.77982768278219505</v>
      </c>
      <c r="AM26" s="18">
        <v>0.51944089828930196</v>
      </c>
    </row>
    <row r="27" spans="1:39" x14ac:dyDescent="0.2">
      <c r="A27" s="18" t="s">
        <v>295</v>
      </c>
      <c r="B27" s="18">
        <v>2.1555065770592301</v>
      </c>
      <c r="C27" s="18">
        <v>3.8384880202735602E-2</v>
      </c>
      <c r="D27" s="18">
        <v>0.10447029431753101</v>
      </c>
      <c r="E27" s="18">
        <v>7390.5207868396301</v>
      </c>
      <c r="F27" s="18">
        <v>78.345183973943904</v>
      </c>
      <c r="G27" s="18">
        <v>213.22834368350399</v>
      </c>
      <c r="H27" s="18">
        <v>218.22233828199899</v>
      </c>
      <c r="I27" s="18">
        <v>3.2271834701206199</v>
      </c>
      <c r="J27" s="18">
        <v>13.6538959232811</v>
      </c>
      <c r="K27" s="18">
        <v>5468.9197576320903</v>
      </c>
      <c r="L27" s="18">
        <v>15.152475660750101</v>
      </c>
      <c r="M27" s="18">
        <v>64.108634531459899</v>
      </c>
      <c r="N27" s="18">
        <v>7.9899871464200096</v>
      </c>
      <c r="O27" s="18">
        <v>0.22197515389620801</v>
      </c>
      <c r="P27" s="18">
        <v>0.352818382199999</v>
      </c>
      <c r="Q27" s="18">
        <v>44169.363472942197</v>
      </c>
      <c r="R27" s="18">
        <v>490.13629060594201</v>
      </c>
      <c r="S27" s="18">
        <v>779.04706933982197</v>
      </c>
      <c r="T27" s="18">
        <v>0.73577200752355398</v>
      </c>
      <c r="U27" s="18">
        <v>9.9627258138110797E-3</v>
      </c>
      <c r="V27" s="18">
        <v>3.1442586304100802E-2</v>
      </c>
      <c r="W27" s="18">
        <v>4787.2685413489198</v>
      </c>
      <c r="X27" s="18">
        <v>18.180967333244698</v>
      </c>
      <c r="Y27" s="18">
        <v>57.379541016285998</v>
      </c>
      <c r="Z27" s="18">
        <v>0.46691056811667198</v>
      </c>
      <c r="AA27" s="18">
        <v>8.1577553216471699E-3</v>
      </c>
      <c r="AB27" s="18">
        <v>2.2202572859981101E-2</v>
      </c>
      <c r="AC27" s="18">
        <v>1.7808267870346099</v>
      </c>
      <c r="AD27" s="18">
        <v>4.3616730737865997E-2</v>
      </c>
      <c r="AE27" s="18">
        <v>12.700245805104201</v>
      </c>
      <c r="AF27" s="18">
        <v>0.648202536997873</v>
      </c>
      <c r="AG27" s="18">
        <v>7.1445975659825596</v>
      </c>
      <c r="AH27" s="18">
        <v>0.38867998058133202</v>
      </c>
      <c r="AI27" s="18">
        <v>500.97455505742801</v>
      </c>
      <c r="AJ27" s="18">
        <v>22.805089574687599</v>
      </c>
      <c r="AL27" s="18">
        <v>0.61940979084189496</v>
      </c>
      <c r="AM27" s="18">
        <v>0.58047948836031804</v>
      </c>
    </row>
    <row r="28" spans="1:39" x14ac:dyDescent="0.2">
      <c r="A28" s="18" t="s">
        <v>296</v>
      </c>
      <c r="B28" s="18">
        <v>0.234045182225882</v>
      </c>
      <c r="C28" s="18">
        <v>3.2324614115886801E-3</v>
      </c>
      <c r="D28" s="18">
        <v>1.1036442848639499E-2</v>
      </c>
      <c r="E28" s="18">
        <v>1356.9672716530699</v>
      </c>
      <c r="F28" s="18">
        <v>16.395614834371301</v>
      </c>
      <c r="G28" s="18">
        <v>55.978786147028799</v>
      </c>
      <c r="H28" s="18">
        <v>2.8928429856752498</v>
      </c>
      <c r="I28" s="18">
        <v>5.9294451023114501E-2</v>
      </c>
      <c r="J28" s="18">
        <v>0.18559869322606701</v>
      </c>
      <c r="K28" s="18">
        <v>1377.8390113614901</v>
      </c>
      <c r="L28" s="18">
        <v>15.140433762767501</v>
      </c>
      <c r="M28" s="18">
        <v>47.391360789394099</v>
      </c>
      <c r="N28" s="18">
        <v>5.8469089039833402E-2</v>
      </c>
      <c r="O28" s="18">
        <v>2.1004491666793399E-3</v>
      </c>
      <c r="P28" s="18">
        <v>2.9052049286542201E-3</v>
      </c>
      <c r="Q28" s="18">
        <v>1147.0899245676001</v>
      </c>
      <c r="R28" s="18">
        <v>39.889979744066501</v>
      </c>
      <c r="S28" s="18">
        <v>55.1732303712879</v>
      </c>
      <c r="T28" s="18">
        <v>8.9762283681489599E-2</v>
      </c>
      <c r="U28" s="18">
        <v>1.6999883397396599E-3</v>
      </c>
      <c r="V28" s="18">
        <v>4.0159210744139797E-3</v>
      </c>
      <c r="W28" s="18">
        <v>1403.6156247544</v>
      </c>
      <c r="X28" s="18">
        <v>36.684166740940803</v>
      </c>
      <c r="Y28" s="18">
        <v>86.659840463859894</v>
      </c>
      <c r="Z28" s="18">
        <v>4.2719955243445096</v>
      </c>
      <c r="AA28" s="18">
        <v>5.4939190096129298E-2</v>
      </c>
      <c r="AB28" s="18">
        <v>0.18757632480088199</v>
      </c>
      <c r="AC28" s="18">
        <v>1.0843574051534699</v>
      </c>
      <c r="AD28" s="18">
        <v>4.17269543763822E-2</v>
      </c>
      <c r="AE28" s="18">
        <v>119.379889617009</v>
      </c>
      <c r="AF28" s="18">
        <v>3.53300286138247</v>
      </c>
      <c r="AG28" s="18">
        <v>108.958770831302</v>
      </c>
      <c r="AH28" s="18">
        <v>1.7637855041180099</v>
      </c>
      <c r="AI28" s="18">
        <v>57.003277006126098</v>
      </c>
      <c r="AJ28" s="18">
        <v>1.67186066335794</v>
      </c>
      <c r="AL28" s="18">
        <v>0.452244492177445</v>
      </c>
      <c r="AM28" s="18">
        <v>0.21849617616207201</v>
      </c>
    </row>
    <row r="29" spans="1:39" x14ac:dyDescent="0.2">
      <c r="A29" s="18" t="s">
        <v>297</v>
      </c>
      <c r="B29" s="18">
        <v>1.9166832635998901</v>
      </c>
      <c r="C29" s="18">
        <v>2.79153635509518E-2</v>
      </c>
      <c r="D29" s="18">
        <v>9.0802675093565294E-2</v>
      </c>
      <c r="E29" s="18">
        <v>6889.8191825386002</v>
      </c>
      <c r="F29" s="18">
        <v>61.503909791216699</v>
      </c>
      <c r="G29" s="18">
        <v>200.05899359191301</v>
      </c>
      <c r="H29" s="18">
        <v>189.70476208605501</v>
      </c>
      <c r="I29" s="18">
        <v>2.44197023341113</v>
      </c>
      <c r="J29" s="18">
        <v>11.7891366426585</v>
      </c>
      <c r="K29" s="18">
        <v>5328.4562252974902</v>
      </c>
      <c r="L29" s="18">
        <v>13.0214201820641</v>
      </c>
      <c r="M29" s="18">
        <v>62.863707226025298</v>
      </c>
      <c r="N29" s="18">
        <v>155.172078445507</v>
      </c>
      <c r="O29" s="18">
        <v>21.600005558129102</v>
      </c>
      <c r="P29" s="18">
        <v>22.246978321509999</v>
      </c>
      <c r="Q29" s="18">
        <v>96007.9078178239</v>
      </c>
      <c r="R29" s="18">
        <v>2706.7301724567201</v>
      </c>
      <c r="S29" s="18">
        <v>2787.8033321227399</v>
      </c>
      <c r="T29" s="18">
        <v>0.71982548801720003</v>
      </c>
      <c r="U29" s="18">
        <v>7.6757863465468203E-3</v>
      </c>
      <c r="V29" s="18">
        <v>3.0169705332056901E-2</v>
      </c>
      <c r="W29" s="18">
        <v>4768.94778443827</v>
      </c>
      <c r="X29" s="18">
        <v>14.9522343705016</v>
      </c>
      <c r="Y29" s="18">
        <v>58.7698099774274</v>
      </c>
      <c r="Z29" s="18">
        <v>0.524255587048298</v>
      </c>
      <c r="AA29" s="18">
        <v>7.6342610846286104E-3</v>
      </c>
      <c r="AB29" s="18">
        <v>2.4832609741288699E-2</v>
      </c>
      <c r="AC29" s="18">
        <v>39.953834468215398</v>
      </c>
      <c r="AD29" s="18">
        <v>5.4958009857025498</v>
      </c>
      <c r="AE29" s="18">
        <v>10.1102146168869</v>
      </c>
      <c r="AF29" s="18">
        <v>0.38786609877913197</v>
      </c>
      <c r="AG29" s="18">
        <v>0.37277449569943399</v>
      </c>
      <c r="AH29" s="18">
        <v>4.28895351499929E-2</v>
      </c>
      <c r="AI29" s="18">
        <v>344.51523726455798</v>
      </c>
      <c r="AJ29" s="18">
        <v>10.587519082947001</v>
      </c>
      <c r="AL29" s="18">
        <v>0.69886482141386896</v>
      </c>
      <c r="AM29" s="18">
        <v>0.49189199551780399</v>
      </c>
    </row>
    <row r="30" spans="1:39" x14ac:dyDescent="0.2">
      <c r="A30" s="18" t="s">
        <v>298</v>
      </c>
      <c r="B30" s="18">
        <v>6.7690041036610502</v>
      </c>
      <c r="C30" s="18">
        <v>0.146040445881925</v>
      </c>
      <c r="D30" s="18">
        <v>0.33827367150611298</v>
      </c>
      <c r="E30" s="18">
        <v>13189.7360878695</v>
      </c>
      <c r="F30" s="18">
        <v>124.736696639519</v>
      </c>
      <c r="G30" s="18">
        <v>288.92776989950897</v>
      </c>
      <c r="H30" s="18">
        <v>710.23185737900303</v>
      </c>
      <c r="I30" s="18">
        <v>15.730982619011799</v>
      </c>
      <c r="J30" s="18">
        <v>45.953648541573301</v>
      </c>
      <c r="K30" s="18">
        <v>6661.9157356655196</v>
      </c>
      <c r="L30" s="18">
        <v>21.681293772274898</v>
      </c>
      <c r="M30" s="18">
        <v>63.335811758738998</v>
      </c>
      <c r="N30" s="18">
        <v>16.459190108477198</v>
      </c>
      <c r="O30" s="18">
        <v>0.64836526976128095</v>
      </c>
      <c r="P30" s="18">
        <v>0.85998586650192699</v>
      </c>
      <c r="Q30" s="18">
        <v>57394.434398302197</v>
      </c>
      <c r="R30" s="18">
        <v>763.78302515818302</v>
      </c>
      <c r="S30" s="18">
        <v>1013.07493992077</v>
      </c>
      <c r="T30" s="18">
        <v>0.75853301893400105</v>
      </c>
      <c r="U30" s="18">
        <v>8.1922171077574192E-3</v>
      </c>
      <c r="V30" s="18">
        <v>3.1819339585133603E-2</v>
      </c>
      <c r="W30" s="18">
        <v>4832.8836822396497</v>
      </c>
      <c r="X30" s="18">
        <v>13.6286079694472</v>
      </c>
      <c r="Y30" s="18">
        <v>52.934791564772098</v>
      </c>
      <c r="Z30" s="18">
        <v>0.149505418509635</v>
      </c>
      <c r="AA30" s="18">
        <v>3.3297898437456802E-3</v>
      </c>
      <c r="AB30" s="18">
        <v>7.7127964721383398E-3</v>
      </c>
      <c r="AC30" s="18">
        <v>1.05132748898544</v>
      </c>
      <c r="AD30" s="18">
        <v>4.4292445892135303E-2</v>
      </c>
      <c r="AE30" s="18">
        <v>3.0561552361211999</v>
      </c>
      <c r="AF30" s="18">
        <v>0.15105426474818001</v>
      </c>
      <c r="AG30" s="18">
        <v>2.8712268103533898</v>
      </c>
      <c r="AH30" s="18">
        <v>9.94178668196007E-2</v>
      </c>
      <c r="AI30" s="18">
        <v>420.39332452959201</v>
      </c>
      <c r="AJ30" s="18">
        <v>16.4647106141087</v>
      </c>
      <c r="AL30" s="18">
        <v>0.85949117608072201</v>
      </c>
      <c r="AM30" s="18">
        <v>0.24513966483931701</v>
      </c>
    </row>
    <row r="31" spans="1:39" x14ac:dyDescent="0.2">
      <c r="A31" s="18" t="s">
        <v>341</v>
      </c>
      <c r="B31" s="18">
        <v>-408.38527884776801</v>
      </c>
      <c r="C31" s="18">
        <v>314.142617853736</v>
      </c>
      <c r="D31" s="18">
        <v>314.68150333399802</v>
      </c>
      <c r="E31" s="18">
        <v>24981.874380355901</v>
      </c>
      <c r="F31" s="18">
        <v>2829.6504534359601</v>
      </c>
      <c r="G31" s="18">
        <v>2834.5044829655799</v>
      </c>
      <c r="H31" s="18">
        <v>12381.242655480601</v>
      </c>
      <c r="I31" s="18">
        <v>33773.769594325597</v>
      </c>
      <c r="J31" s="18">
        <v>33782.155684557903</v>
      </c>
      <c r="K31" s="18">
        <v>9945.16706796578</v>
      </c>
      <c r="L31" s="18">
        <v>350.46322482941503</v>
      </c>
      <c r="M31" s="18">
        <v>350.55024550438799</v>
      </c>
      <c r="N31" s="18">
        <v>13.458763992492999</v>
      </c>
      <c r="O31" s="18">
        <v>6.6816251769009698</v>
      </c>
      <c r="P31" s="18">
        <v>6.6975771795569896</v>
      </c>
      <c r="Q31" s="18">
        <v>62763.476328529003</v>
      </c>
      <c r="R31" s="18">
        <v>1030.8984634946</v>
      </c>
      <c r="S31" s="18">
        <v>1033.3596753393799</v>
      </c>
      <c r="T31" s="18">
        <v>-0.145975196832697</v>
      </c>
      <c r="U31" s="18">
        <v>0.343137845226132</v>
      </c>
      <c r="V31" s="18">
        <v>0.34318885849757202</v>
      </c>
      <c r="W31" s="18">
        <v>4879.3985162947702</v>
      </c>
      <c r="X31" s="18">
        <v>15.255409947906401</v>
      </c>
      <c r="Y31" s="18">
        <v>15.2576779238216</v>
      </c>
      <c r="Z31" s="18">
        <v>-0.85510511168190495</v>
      </c>
      <c r="AA31" s="18">
        <v>0.37890240115234902</v>
      </c>
      <c r="AB31" s="18">
        <v>0.379552376643775</v>
      </c>
      <c r="AC31" s="18">
        <v>-13.9584533289297</v>
      </c>
      <c r="AD31" s="18">
        <v>5.7481111279781096</v>
      </c>
      <c r="AE31" s="18">
        <v>5.0409742335553696E-3</v>
      </c>
      <c r="AF31" s="18">
        <v>1.9374733841565201E-3</v>
      </c>
      <c r="AG31" s="18">
        <v>-3.9327628227493701E-4</v>
      </c>
      <c r="AH31" s="18">
        <v>2.1296757790142001E-5</v>
      </c>
      <c r="AI31" s="18">
        <v>-7.0885762002181898E-2</v>
      </c>
      <c r="AJ31" s="18">
        <v>2.5366039893265E-4</v>
      </c>
      <c r="AL31" s="18">
        <v>0.34150076698679199</v>
      </c>
      <c r="AM31" s="18">
        <v>-8.4414723815237305E-2</v>
      </c>
    </row>
    <row r="32" spans="1:39" x14ac:dyDescent="0.2">
      <c r="A32" s="18" t="s">
        <v>342</v>
      </c>
      <c r="B32" s="18">
        <v>-4.0328344611765203</v>
      </c>
      <c r="C32" s="18">
        <v>6.1784334649025396</v>
      </c>
      <c r="D32" s="18">
        <v>6.1811070263634296</v>
      </c>
      <c r="E32" s="18">
        <v>13906.586714172499</v>
      </c>
      <c r="F32" s="18">
        <v>1290.0646181004399</v>
      </c>
      <c r="G32" s="18">
        <v>1290.62286107005</v>
      </c>
      <c r="H32" s="18">
        <v>17.339991587394898</v>
      </c>
      <c r="I32" s="18">
        <v>786.48703925988195</v>
      </c>
      <c r="J32" s="18">
        <v>786.48774640684803</v>
      </c>
      <c r="K32" s="18">
        <v>7782.1669421658398</v>
      </c>
      <c r="L32" s="18">
        <v>16.847247022220799</v>
      </c>
      <c r="M32" s="18">
        <v>16.847262169933401</v>
      </c>
      <c r="N32" s="18">
        <v>-45.591953332453201</v>
      </c>
      <c r="O32" s="18">
        <v>70.549943838996995</v>
      </c>
      <c r="P32" s="18">
        <v>70.5672987262341</v>
      </c>
      <c r="Q32" s="18">
        <v>156284.38523858701</v>
      </c>
      <c r="R32" s="18">
        <v>4034.3214970756599</v>
      </c>
      <c r="S32" s="18">
        <v>4035.3139173505701</v>
      </c>
      <c r="T32" s="18">
        <v>-6.4708459760735901E-2</v>
      </c>
      <c r="U32" s="18">
        <v>0.40979556763708802</v>
      </c>
      <c r="V32" s="18">
        <v>0.40980396245816703</v>
      </c>
      <c r="W32" s="18">
        <v>4150.9282994832602</v>
      </c>
      <c r="X32" s="18">
        <v>0</v>
      </c>
      <c r="Y32" s="18">
        <v>0</v>
      </c>
      <c r="Z32" s="18">
        <v>-0.93983531831548806</v>
      </c>
      <c r="AA32" s="18">
        <v>0.44760101834753602</v>
      </c>
      <c r="AB32" s="18">
        <v>0.44779470641414798</v>
      </c>
      <c r="AC32" s="18">
        <v>99.179710560122402</v>
      </c>
      <c r="AD32" s="18">
        <v>40.504922542601399</v>
      </c>
      <c r="AE32" s="18">
        <v>4.9962118672095997E-3</v>
      </c>
      <c r="AF32" s="18">
        <v>1.9713037080956301E-3</v>
      </c>
      <c r="AG32" s="18">
        <v>4.6854445555207498E-5</v>
      </c>
      <c r="AH32" s="18">
        <v>1.17446887107015E-6</v>
      </c>
      <c r="AI32" s="18">
        <v>-2.5246480773200501E-3</v>
      </c>
      <c r="AJ32" s="18">
        <v>3.6286695141982697E-2</v>
      </c>
      <c r="AL32" s="18">
        <v>-5.1506868698604803E-3</v>
      </c>
      <c r="AM32" s="18">
        <v>-6.6533931107442199E-2</v>
      </c>
    </row>
    <row r="33" spans="1:39" x14ac:dyDescent="0.2">
      <c r="A33" s="18" t="s">
        <v>343</v>
      </c>
      <c r="B33" s="18">
        <v>-6.8874921285984598</v>
      </c>
      <c r="C33" s="18">
        <v>13.743179365907499</v>
      </c>
      <c r="D33" s="18">
        <v>13.7466843780949</v>
      </c>
      <c r="E33" s="18">
        <v>17888.799720466599</v>
      </c>
      <c r="F33" s="18">
        <v>1425.0658415913399</v>
      </c>
      <c r="G33" s="18">
        <v>1425.42928537749</v>
      </c>
      <c r="H33" s="18">
        <v>2423.7639624953699</v>
      </c>
      <c r="I33" s="18">
        <v>1238.0217123499001</v>
      </c>
      <c r="J33" s="18">
        <v>1246.7600834044699</v>
      </c>
      <c r="K33" s="18">
        <v>8621.6692346998607</v>
      </c>
      <c r="L33" s="18">
        <v>58.4880988582306</v>
      </c>
      <c r="M33" s="18">
        <v>58.900927409620998</v>
      </c>
      <c r="N33" s="18">
        <v>150.45032220045701</v>
      </c>
      <c r="O33" s="18">
        <v>257.09842626044701</v>
      </c>
      <c r="P33" s="18">
        <v>257.15028905711699</v>
      </c>
      <c r="Q33" s="18">
        <v>169332.603626344</v>
      </c>
      <c r="R33" s="18">
        <v>5272.2535812523502</v>
      </c>
      <c r="S33" s="18">
        <v>5273.3171187444104</v>
      </c>
      <c r="T33" s="18">
        <v>0.46578638653711801</v>
      </c>
      <c r="U33" s="18">
        <v>0.388975393837523</v>
      </c>
      <c r="V33" s="18">
        <v>0.38943329905809398</v>
      </c>
      <c r="W33" s="18" t="s">
        <v>338</v>
      </c>
      <c r="X33" s="18" t="s">
        <v>338</v>
      </c>
      <c r="Y33" s="18" t="s">
        <v>338</v>
      </c>
      <c r="Z33" s="18">
        <v>-0.87852940148247904</v>
      </c>
      <c r="AA33" s="18">
        <v>0.46506597435307301</v>
      </c>
      <c r="AB33" s="18">
        <v>0.46518458314545202</v>
      </c>
      <c r="AC33" s="18">
        <v>125.712840333625</v>
      </c>
      <c r="AD33" s="18">
        <v>70.177442534616006</v>
      </c>
      <c r="AE33" s="18">
        <v>4.0507630039365999E-3</v>
      </c>
      <c r="AF33" s="18">
        <v>1.7951201957862801E-3</v>
      </c>
      <c r="AG33" s="18">
        <v>2.5448113256373099E-5</v>
      </c>
      <c r="AH33" s="18">
        <v>2.1455626285534901E-6</v>
      </c>
      <c r="AI33" s="18">
        <v>7.3372823869120807E-2</v>
      </c>
      <c r="AJ33" s="18">
        <v>5.0981861540868097E-2</v>
      </c>
      <c r="AL33" s="18">
        <v>-0.101102624510806</v>
      </c>
      <c r="AM33" s="18">
        <v>-6.1683588658270103E-2</v>
      </c>
    </row>
    <row r="34" spans="1:39" x14ac:dyDescent="0.2">
      <c r="A34" s="18" t="s">
        <v>344</v>
      </c>
      <c r="B34" s="18">
        <v>-76.170750791637303</v>
      </c>
      <c r="C34" s="18">
        <v>873.65596875146798</v>
      </c>
      <c r="D34" s="18">
        <v>873.66272189836195</v>
      </c>
      <c r="E34" s="18">
        <v>20470.680010144999</v>
      </c>
      <c r="F34" s="18">
        <v>3546.9457741144402</v>
      </c>
      <c r="G34" s="18">
        <v>3546.9731911375002</v>
      </c>
      <c r="H34" s="18">
        <v>21861.767375613301</v>
      </c>
      <c r="I34" s="18">
        <v>68212.661247320604</v>
      </c>
      <c r="J34" s="18">
        <v>68225.607379441804</v>
      </c>
      <c r="K34" s="18">
        <v>10282.887039483699</v>
      </c>
      <c r="L34" s="18">
        <v>543.73608273477998</v>
      </c>
      <c r="M34" s="18">
        <v>543.83927881359295</v>
      </c>
      <c r="N34" s="18">
        <v>-30.1484873351644</v>
      </c>
      <c r="O34" s="18">
        <v>30.192476307681002</v>
      </c>
      <c r="P34" s="18">
        <v>30.210205278483599</v>
      </c>
      <c r="Q34" s="18">
        <v>69520.110927150599</v>
      </c>
      <c r="R34" s="18">
        <v>1887.95186778573</v>
      </c>
      <c r="S34" s="18">
        <v>1889.0604699155999</v>
      </c>
      <c r="T34" s="18">
        <v>-0.234672621873251</v>
      </c>
      <c r="U34" s="18">
        <v>0.48019930200890498</v>
      </c>
      <c r="V34" s="18">
        <v>0.480293499811564</v>
      </c>
      <c r="W34" s="18" t="s">
        <v>338</v>
      </c>
      <c r="X34" s="18" t="s">
        <v>338</v>
      </c>
      <c r="Y34" s="18" t="s">
        <v>338</v>
      </c>
      <c r="Z34" s="18">
        <v>-1.5372871609226499</v>
      </c>
      <c r="AA34" s="18">
        <v>0.61020476941609703</v>
      </c>
      <c r="AB34" s="18">
        <v>0.61020948614967396</v>
      </c>
      <c r="AC34" s="18">
        <v>-65.295884746931605</v>
      </c>
      <c r="AD34" s="18">
        <v>18.6998669231183</v>
      </c>
      <c r="AE34" s="18">
        <v>1.2367817963988901E-2</v>
      </c>
      <c r="AF34" s="18">
        <v>3.0936004795427399E-3</v>
      </c>
      <c r="AG34" s="18">
        <v>-1.9932847822505699E-4</v>
      </c>
      <c r="AH34" s="18">
        <v>1.5235280484325701E-5</v>
      </c>
      <c r="AI34" s="18">
        <v>9.1780365833742494E-2</v>
      </c>
      <c r="AJ34" s="18">
        <v>5.4544016932168697E-2</v>
      </c>
      <c r="AL34" s="18">
        <v>-0.82328410259454998</v>
      </c>
      <c r="AM34" s="18">
        <v>-3.10637222221E-3</v>
      </c>
    </row>
    <row r="35" spans="1:39" x14ac:dyDescent="0.2">
      <c r="A35" s="18" t="s">
        <v>345</v>
      </c>
      <c r="B35" s="18">
        <v>-12.8577794641122</v>
      </c>
      <c r="C35" s="18">
        <v>18.044505857189101</v>
      </c>
      <c r="D35" s="18">
        <v>18.053808952942699</v>
      </c>
      <c r="E35" s="18">
        <v>16907.178725684</v>
      </c>
      <c r="F35" s="18">
        <v>2038.3018187093501</v>
      </c>
      <c r="G35" s="18">
        <v>2039.3526935376401</v>
      </c>
      <c r="H35" s="18">
        <v>2695.9296368056498</v>
      </c>
      <c r="I35" s="18">
        <v>1892.6954151873199</v>
      </c>
      <c r="J35" s="18">
        <v>1899.7783763345501</v>
      </c>
      <c r="K35" s="18">
        <v>9059.3374064135805</v>
      </c>
      <c r="L35" s="18">
        <v>31.861568443953502</v>
      </c>
      <c r="M35" s="18">
        <v>31.980802764260702</v>
      </c>
      <c r="N35" s="18">
        <v>-8.3280967526218994</v>
      </c>
      <c r="O35" s="18">
        <v>8.4073937225658106</v>
      </c>
      <c r="P35" s="18">
        <v>8.4122518022759305</v>
      </c>
      <c r="Q35" s="18">
        <v>49553.1838806347</v>
      </c>
      <c r="R35" s="18">
        <v>58.867995609348398</v>
      </c>
      <c r="S35" s="18">
        <v>58.902011551087597</v>
      </c>
      <c r="T35" s="18">
        <v>0.284796334224795</v>
      </c>
      <c r="U35" s="18">
        <v>0.39961961217869602</v>
      </c>
      <c r="V35" s="18">
        <v>0.39978630046675401</v>
      </c>
      <c r="W35" s="18" t="s">
        <v>338</v>
      </c>
      <c r="X35" s="18" t="s">
        <v>338</v>
      </c>
      <c r="Y35" s="18" t="s">
        <v>338</v>
      </c>
      <c r="Z35" s="18">
        <v>-1.96306003362099</v>
      </c>
      <c r="AA35" s="18">
        <v>0.67648577141747701</v>
      </c>
      <c r="AB35" s="18">
        <v>0.67683454305784496</v>
      </c>
      <c r="AC35" s="18">
        <v>-13.5693526335589</v>
      </c>
      <c r="AD35" s="18">
        <v>4.2492513113588304</v>
      </c>
      <c r="AE35" s="18">
        <v>9.2911726577832292E-3</v>
      </c>
      <c r="AF35" s="18">
        <v>2.8897592694335202E-3</v>
      </c>
      <c r="AG35" s="18">
        <v>-6.5224663131598797E-4</v>
      </c>
      <c r="AH35" s="18">
        <v>2.6622962810537098E-6</v>
      </c>
      <c r="AI35" s="18">
        <v>5.0417100463589597E-2</v>
      </c>
      <c r="AJ35" s="18">
        <v>5.01159001115489E-2</v>
      </c>
      <c r="AL35" s="18">
        <v>-0.155912559060853</v>
      </c>
      <c r="AM35" s="18">
        <v>-2.4393737494622501E-2</v>
      </c>
    </row>
    <row r="36" spans="1:39" x14ac:dyDescent="0.2">
      <c r="A36" s="18" t="s">
        <v>346</v>
      </c>
      <c r="B36" s="18">
        <v>56.0134194712629</v>
      </c>
      <c r="C36" s="18">
        <v>51.44715337113</v>
      </c>
      <c r="D36" s="18">
        <v>51.509077141551003</v>
      </c>
      <c r="E36" s="18">
        <v>27820.809361204399</v>
      </c>
      <c r="F36" s="18">
        <v>6009.4561925187199</v>
      </c>
      <c r="G36" s="18">
        <v>6016.6894048781296</v>
      </c>
      <c r="H36" s="18">
        <v>-3778.8401962495</v>
      </c>
      <c r="I36" s="18">
        <v>4921.4063487309604</v>
      </c>
      <c r="J36" s="18">
        <v>4926.7648449725202</v>
      </c>
      <c r="K36" s="18">
        <v>11303.6948799855</v>
      </c>
      <c r="L36" s="18">
        <v>623.147988608991</v>
      </c>
      <c r="M36" s="18">
        <v>623.82648087690995</v>
      </c>
      <c r="N36" s="18">
        <v>5.0857206766201601</v>
      </c>
      <c r="O36" s="18">
        <v>12.9687896579024</v>
      </c>
      <c r="P36" s="18">
        <v>12.9699645093618</v>
      </c>
      <c r="Q36" s="18">
        <v>66304.747577157206</v>
      </c>
      <c r="R36" s="18">
        <v>984.68742434765102</v>
      </c>
      <c r="S36" s="18">
        <v>984.77662784991105</v>
      </c>
      <c r="T36" s="18">
        <v>8.8237507185757597E-2</v>
      </c>
      <c r="U36" s="18">
        <v>0.38321908566731799</v>
      </c>
      <c r="V36" s="18">
        <v>0.38323577422012001</v>
      </c>
      <c r="W36" s="18">
        <v>4133.9873305457404</v>
      </c>
      <c r="X36" s="18">
        <v>0</v>
      </c>
      <c r="Y36" s="18">
        <v>0</v>
      </c>
      <c r="Z36" s="18">
        <v>-8.9054021355367094E-2</v>
      </c>
      <c r="AA36" s="18">
        <v>0.15591894807468301</v>
      </c>
      <c r="AB36" s="18">
        <v>0.15610661811106399</v>
      </c>
      <c r="AC36" s="18">
        <v>-5.06410137621807</v>
      </c>
      <c r="AD36" s="18">
        <v>3.1227112735719702</v>
      </c>
      <c r="AE36" s="18">
        <v>3.1815524557463198E-3</v>
      </c>
      <c r="AF36" s="18">
        <v>1.59307398842972E-3</v>
      </c>
      <c r="AG36" s="18">
        <v>-3.3097480562020802E-4</v>
      </c>
      <c r="AH36" s="18">
        <v>1.53320055841257E-5</v>
      </c>
      <c r="AI36" s="18">
        <v>8.6630397039431494E-3</v>
      </c>
      <c r="AJ36" s="18">
        <v>4.37061860791539E-2</v>
      </c>
      <c r="AL36" s="18">
        <v>-1.76014204305684E-2</v>
      </c>
      <c r="AM36" s="18">
        <v>1.1543879673937801E-3</v>
      </c>
    </row>
    <row r="37" spans="1:39" x14ac:dyDescent="0.2">
      <c r="A37" s="18" t="s">
        <v>347</v>
      </c>
      <c r="B37" s="18">
        <v>5.0939404259038596</v>
      </c>
      <c r="C37" s="18">
        <v>16.772838129833701</v>
      </c>
      <c r="D37" s="18">
        <v>16.774409779808298</v>
      </c>
      <c r="E37" s="18">
        <v>19547.320742338699</v>
      </c>
      <c r="F37" s="18">
        <v>1480.5767332993701</v>
      </c>
      <c r="G37" s="18">
        <v>1480.7154664325101</v>
      </c>
      <c r="H37" s="18">
        <v>738.06706694843501</v>
      </c>
      <c r="I37" s="18">
        <v>1803.14651696077</v>
      </c>
      <c r="J37" s="18">
        <v>1803.70458561429</v>
      </c>
      <c r="K37" s="18">
        <v>8470.0192143157092</v>
      </c>
      <c r="L37" s="18">
        <v>113.441720464383</v>
      </c>
      <c r="M37" s="18">
        <v>113.476830350128</v>
      </c>
      <c r="N37" s="18">
        <v>32.6981368185374</v>
      </c>
      <c r="O37" s="18">
        <v>76.369425995893394</v>
      </c>
      <c r="P37" s="18">
        <v>76.377672452516407</v>
      </c>
      <c r="Q37" s="18">
        <v>73645.670694102198</v>
      </c>
      <c r="R37" s="18">
        <v>24739.030126746398</v>
      </c>
      <c r="S37" s="18">
        <v>24741.701475079499</v>
      </c>
      <c r="T37" s="18">
        <v>-8.1893273040181805E-2</v>
      </c>
      <c r="U37" s="18">
        <v>0.36236402930279699</v>
      </c>
      <c r="V37" s="18">
        <v>0.36237923271632</v>
      </c>
      <c r="W37" s="18" t="s">
        <v>338</v>
      </c>
      <c r="X37" s="18" t="s">
        <v>338</v>
      </c>
      <c r="Y37" s="18" t="s">
        <v>338</v>
      </c>
      <c r="Z37" s="18">
        <v>1.3887528858776499E-2</v>
      </c>
      <c r="AA37" s="18">
        <v>9.7245886348584304E-2</v>
      </c>
      <c r="AB37" s="18">
        <v>9.7254998491301606E-2</v>
      </c>
      <c r="AC37" s="18">
        <v>46.301538869387898</v>
      </c>
      <c r="AD37" s="18">
        <v>24.521148062312001</v>
      </c>
      <c r="AE37" s="18">
        <v>3.8260802277543101E-3</v>
      </c>
      <c r="AF37" s="18">
        <v>1.7673970921369001E-3</v>
      </c>
      <c r="AG37" s="18">
        <v>1.09884484081515E-2</v>
      </c>
      <c r="AH37" s="18">
        <v>4.8232301622140802E-3</v>
      </c>
      <c r="AI37" s="18">
        <v>6.0833538104806503E-2</v>
      </c>
      <c r="AJ37" s="18">
        <v>5.3660285313560201E-2</v>
      </c>
      <c r="AL37" s="18">
        <v>-0.145421107557684</v>
      </c>
      <c r="AM37" s="18">
        <v>0.12698602470110601</v>
      </c>
    </row>
    <row r="38" spans="1:39" x14ac:dyDescent="0.2">
      <c r="A38" s="18" t="s">
        <v>299</v>
      </c>
      <c r="B38" s="18">
        <v>0.233206297567255</v>
      </c>
      <c r="C38" s="18">
        <v>1.8337866957801299E-3</v>
      </c>
      <c r="D38" s="18">
        <v>1.06722365446517E-2</v>
      </c>
      <c r="E38" s="18">
        <v>1351.0216263464199</v>
      </c>
      <c r="F38" s="18">
        <v>9.5759231480062699</v>
      </c>
      <c r="G38" s="18">
        <v>55.729773372280299</v>
      </c>
      <c r="H38" s="18">
        <v>2.80167364598339</v>
      </c>
      <c r="I38" s="18">
        <v>4.3066175690001103E-2</v>
      </c>
      <c r="J38" s="18">
        <v>0.17570203301058401</v>
      </c>
      <c r="K38" s="18">
        <v>1355.0162130880799</v>
      </c>
      <c r="L38" s="18">
        <v>11.828857040416899</v>
      </c>
      <c r="M38" s="18">
        <v>48.259549330621198</v>
      </c>
      <c r="N38" s="18">
        <v>6.8272045766237993E-2</v>
      </c>
      <c r="O38" s="18">
        <v>1.5920803071295599E-3</v>
      </c>
      <c r="P38" s="18">
        <v>2.8330996370187901E-3</v>
      </c>
      <c r="Q38" s="18">
        <v>1334.04494082772</v>
      </c>
      <c r="R38" s="18">
        <v>30.136794418636601</v>
      </c>
      <c r="S38" s="18">
        <v>53.628288061854199</v>
      </c>
      <c r="T38" s="18">
        <v>8.6578399493073194E-2</v>
      </c>
      <c r="U38" s="18">
        <v>1.20750327342733E-3</v>
      </c>
      <c r="V38" s="18">
        <v>3.7111652941524999E-3</v>
      </c>
      <c r="W38" s="18">
        <v>1351.7987217314301</v>
      </c>
      <c r="X38" s="18">
        <v>27.805206031832899</v>
      </c>
      <c r="Y38" s="18">
        <v>85.457089759441104</v>
      </c>
      <c r="Z38" s="18">
        <v>4.2839730528468998</v>
      </c>
      <c r="AA38" s="18">
        <v>3.3552573863209603E-2</v>
      </c>
      <c r="AB38" s="18">
        <v>0.195268624084841</v>
      </c>
      <c r="AC38" s="18">
        <v>1.8319752037097801</v>
      </c>
      <c r="AD38" s="18">
        <v>2.09927910966696E-2</v>
      </c>
      <c r="AE38" s="18">
        <v>186.398479579195</v>
      </c>
      <c r="AF38" s="18">
        <v>1.71673998847983</v>
      </c>
      <c r="AG38" s="18">
        <v>101.463026221711</v>
      </c>
      <c r="AH38" s="18">
        <v>1.2561218195374999</v>
      </c>
      <c r="AI38" s="18">
        <v>63.2515967225414</v>
      </c>
      <c r="AJ38" s="18">
        <v>1.46236748222097</v>
      </c>
      <c r="AL38" s="18">
        <v>0.37471088994929702</v>
      </c>
      <c r="AM38" s="18">
        <v>0.19284263160166801</v>
      </c>
    </row>
    <row r="39" spans="1:39" x14ac:dyDescent="0.2">
      <c r="A39" s="18" t="s">
        <v>348</v>
      </c>
      <c r="B39" s="18">
        <v>2.3151996576639</v>
      </c>
      <c r="C39" s="18">
        <v>2.2421120201386699</v>
      </c>
      <c r="D39" s="18">
        <v>2.24454006760112</v>
      </c>
      <c r="E39" s="18">
        <v>13856.434581309401</v>
      </c>
      <c r="F39" s="18">
        <v>48.704277140693101</v>
      </c>
      <c r="G39" s="18">
        <v>48.757020400378501</v>
      </c>
      <c r="H39" s="18">
        <v>560.93007682024904</v>
      </c>
      <c r="I39" s="18">
        <v>21.338675447314799</v>
      </c>
      <c r="J39" s="18">
        <v>40.2291204251176</v>
      </c>
      <c r="K39" s="18">
        <v>6473.5566589606997</v>
      </c>
      <c r="L39" s="18">
        <v>11.3216355072348</v>
      </c>
      <c r="M39" s="18">
        <v>21.344316302779301</v>
      </c>
      <c r="N39" s="18">
        <v>-27.3167770136297</v>
      </c>
      <c r="O39" s="18">
        <v>21.391407739212902</v>
      </c>
      <c r="P39" s="18">
        <v>21.411946631370199</v>
      </c>
      <c r="Q39" s="18">
        <v>37671.616822513002</v>
      </c>
      <c r="R39" s="18">
        <v>3193.4523856363098</v>
      </c>
      <c r="S39" s="18">
        <v>3196.5185687953399</v>
      </c>
      <c r="T39" s="18">
        <v>0.49254444316930601</v>
      </c>
      <c r="U39" s="18">
        <v>4.0538446212605099E-2</v>
      </c>
      <c r="V39" s="18">
        <v>4.5187764256765101E-2</v>
      </c>
      <c r="W39" s="18">
        <v>4402.5830043184696</v>
      </c>
      <c r="X39" s="18">
        <v>3.5205686268565501</v>
      </c>
      <c r="Y39" s="18">
        <v>3.9243394856779301</v>
      </c>
      <c r="Z39" s="18">
        <v>0.12568795750079401</v>
      </c>
      <c r="AA39" s="18">
        <v>2.46728263492621E-2</v>
      </c>
      <c r="AB39" s="18">
        <v>2.4699545261105401E-2</v>
      </c>
      <c r="AC39" s="18">
        <v>4.5140502327239096</v>
      </c>
      <c r="AD39" s="18">
        <v>1.516085246237</v>
      </c>
      <c r="AE39" s="18">
        <v>-7.4502533177451895E-4</v>
      </c>
      <c r="AF39" s="18">
        <v>9.7151468336593405E-7</v>
      </c>
      <c r="AG39" s="18">
        <v>-1.9200286851267401E-4</v>
      </c>
      <c r="AH39" s="18">
        <v>1.5952389124265402E-5</v>
      </c>
      <c r="AI39" s="18">
        <v>8.1359197331319397E-2</v>
      </c>
      <c r="AJ39" s="18">
        <v>4.5624941963547799E-2</v>
      </c>
      <c r="AL39" s="18">
        <v>0.27458258158971</v>
      </c>
      <c r="AM39" s="18">
        <v>-4.8101133497284697E-2</v>
      </c>
    </row>
    <row r="40" spans="1:39" x14ac:dyDescent="0.2">
      <c r="A40" s="18" t="s">
        <v>300</v>
      </c>
      <c r="B40" s="18">
        <v>0.33546781201173198</v>
      </c>
      <c r="C40" s="18">
        <v>6.9534565505983397E-3</v>
      </c>
      <c r="D40" s="18">
        <v>1.66455171651246E-2</v>
      </c>
      <c r="E40" s="18">
        <v>1861.7427741316701</v>
      </c>
      <c r="F40" s="18">
        <v>33.441109544671299</v>
      </c>
      <c r="G40" s="18">
        <v>80.052928913281207</v>
      </c>
      <c r="H40" s="18">
        <v>19.209580240822099</v>
      </c>
      <c r="I40" s="18">
        <v>0.46022226286461299</v>
      </c>
      <c r="J40" s="18">
        <v>1.25527749927833</v>
      </c>
      <c r="K40" s="18">
        <v>3043.09878610952</v>
      </c>
      <c r="L40" s="18">
        <v>23.079646060491999</v>
      </c>
      <c r="M40" s="18">
        <v>62.950801664208001</v>
      </c>
      <c r="N40" s="18">
        <v>1.1746452015482101</v>
      </c>
      <c r="O40" s="18">
        <v>5.9866731717865398E-2</v>
      </c>
      <c r="P40" s="18">
        <v>7.2177172788933694E-2</v>
      </c>
      <c r="Q40" s="18">
        <v>15495.6483792379</v>
      </c>
      <c r="R40" s="18">
        <v>567.153352048427</v>
      </c>
      <c r="S40" s="18">
        <v>683.77752240659402</v>
      </c>
      <c r="T40" s="18">
        <v>0.416009934691417</v>
      </c>
      <c r="U40" s="18">
        <v>8.3388987643089902E-3</v>
      </c>
      <c r="V40" s="18">
        <v>1.8811634373500599E-2</v>
      </c>
      <c r="W40" s="18">
        <v>3960.0005238260201</v>
      </c>
      <c r="X40" s="18">
        <v>29.113527676103601</v>
      </c>
      <c r="Y40" s="18">
        <v>65.676902124022206</v>
      </c>
      <c r="Z40" s="18">
        <v>3.01645674011607</v>
      </c>
      <c r="AA40" s="18">
        <v>6.1971246705056299E-2</v>
      </c>
      <c r="AB40" s="18">
        <v>0.148349737036097</v>
      </c>
      <c r="AC40" s="18">
        <v>3.6046170996294999</v>
      </c>
      <c r="AD40" s="18">
        <v>0.16282319576711199</v>
      </c>
      <c r="AE40" s="18">
        <v>22.684001118589201</v>
      </c>
      <c r="AF40" s="18">
        <v>0.95332392611262395</v>
      </c>
      <c r="AG40" s="18">
        <v>6.6333171140243801</v>
      </c>
      <c r="AH40" s="18">
        <v>0.447965340640117</v>
      </c>
      <c r="AI40" s="18">
        <v>70.608110123925997</v>
      </c>
      <c r="AJ40" s="18">
        <v>2.91735935468617</v>
      </c>
      <c r="AL40" s="18">
        <v>0.61116281415198603</v>
      </c>
      <c r="AM40" s="18">
        <v>0.32103187495227398</v>
      </c>
    </row>
    <row r="41" spans="1:39" x14ac:dyDescent="0.2">
      <c r="A41" s="18" t="s">
        <v>301</v>
      </c>
      <c r="B41" s="18">
        <v>0.33608500234231298</v>
      </c>
      <c r="C41" s="18">
        <v>4.0859121178271601E-3</v>
      </c>
      <c r="D41" s="18">
        <v>1.5692895407685498E-2</v>
      </c>
      <c r="E41" s="18">
        <v>1866.7151785477499</v>
      </c>
      <c r="F41" s="18">
        <v>19.7145371481081</v>
      </c>
      <c r="G41" s="18">
        <v>75.718263279905301</v>
      </c>
      <c r="H41" s="18">
        <v>5.41566634260729</v>
      </c>
      <c r="I41" s="18">
        <v>0.1313219412818</v>
      </c>
      <c r="J41" s="18">
        <v>0.35448040185699298</v>
      </c>
      <c r="K41" s="18">
        <v>1879.5228953159301</v>
      </c>
      <c r="L41" s="18">
        <v>21.022625414011902</v>
      </c>
      <c r="M41" s="18">
        <v>56.746866762019103</v>
      </c>
      <c r="N41" s="18">
        <v>9.6332030094659696E-2</v>
      </c>
      <c r="O41" s="18">
        <v>4.29946735267305E-3</v>
      </c>
      <c r="P41" s="18">
        <v>5.4238120893591599E-3</v>
      </c>
      <c r="Q41" s="18">
        <v>1863.23568941543</v>
      </c>
      <c r="R41" s="18">
        <v>81.358083240196706</v>
      </c>
      <c r="S41" s="18">
        <v>102.633865837107</v>
      </c>
      <c r="T41" s="18">
        <v>0.11658921721558101</v>
      </c>
      <c r="U41" s="18">
        <v>2.8329135594948002E-3</v>
      </c>
      <c r="V41" s="18">
        <v>5.5097368467239404E-3</v>
      </c>
      <c r="W41" s="18">
        <v>1883.90148708109</v>
      </c>
      <c r="X41" s="18">
        <v>46.3284535227343</v>
      </c>
      <c r="Y41" s="18">
        <v>90.104262648757597</v>
      </c>
      <c r="Z41" s="18">
        <v>2.9768963480570698</v>
      </c>
      <c r="AA41" s="18">
        <v>3.5398343445662603E-2</v>
      </c>
      <c r="AB41" s="18">
        <v>0.135955567637985</v>
      </c>
      <c r="AC41" s="18">
        <v>3.5954979687989601</v>
      </c>
      <c r="AD41" s="18">
        <v>6.0345293755870902E-2</v>
      </c>
      <c r="AE41" s="18">
        <v>41.427862019745199</v>
      </c>
      <c r="AF41" s="18">
        <v>0.836498841756529</v>
      </c>
      <c r="AG41" s="18">
        <v>11.3604501072332</v>
      </c>
      <c r="AH41" s="18">
        <v>0.28169990865706401</v>
      </c>
      <c r="AI41" s="18">
        <v>10.7570771769988</v>
      </c>
      <c r="AJ41" s="18">
        <v>0.48951369550206802</v>
      </c>
      <c r="AL41" s="18">
        <v>0.187107483401276</v>
      </c>
      <c r="AM41" s="18">
        <v>0.31940316904274202</v>
      </c>
    </row>
    <row r="42" spans="1:39" x14ac:dyDescent="0.2">
      <c r="A42" s="18" t="s">
        <v>302</v>
      </c>
      <c r="B42" s="18">
        <v>7.8431785149450697</v>
      </c>
      <c r="C42" s="18">
        <v>0.19826067884451301</v>
      </c>
      <c r="D42" s="18">
        <v>0.40531250593904</v>
      </c>
      <c r="E42" s="18">
        <v>13992.350526857899</v>
      </c>
      <c r="F42" s="18">
        <v>143.65241202085701</v>
      </c>
      <c r="G42" s="18">
        <v>293.67456744170403</v>
      </c>
      <c r="H42" s="18">
        <v>836.14067093544497</v>
      </c>
      <c r="I42" s="18">
        <v>22.085650845112902</v>
      </c>
      <c r="J42" s="18">
        <v>55.420251960692703</v>
      </c>
      <c r="K42" s="18">
        <v>6821.0699451885403</v>
      </c>
      <c r="L42" s="18">
        <v>26.159378750789099</v>
      </c>
      <c r="M42" s="18">
        <v>65.6425917294046</v>
      </c>
      <c r="N42" s="18">
        <v>45.378853285506601</v>
      </c>
      <c r="O42" s="18">
        <v>3.2260955491935999</v>
      </c>
      <c r="P42" s="18">
        <v>3.5824181327573799</v>
      </c>
      <c r="Q42" s="18">
        <v>76255.234083072995</v>
      </c>
      <c r="R42" s="18">
        <v>1266.6565968677701</v>
      </c>
      <c r="S42" s="18">
        <v>1406.5589476201701</v>
      </c>
      <c r="T42" s="18">
        <v>0.77299681041858903</v>
      </c>
      <c r="U42" s="18">
        <v>9.8506278518372403E-3</v>
      </c>
      <c r="V42" s="18">
        <v>3.2843220261448799E-2</v>
      </c>
      <c r="W42" s="18">
        <v>4847.5251796970897</v>
      </c>
      <c r="X42" s="18">
        <v>15.2388707816751</v>
      </c>
      <c r="Y42" s="18">
        <v>50.8082933541098</v>
      </c>
      <c r="Z42" s="18">
        <v>0.13006077398607499</v>
      </c>
      <c r="AA42" s="18">
        <v>3.2718573176604301E-3</v>
      </c>
      <c r="AB42" s="18">
        <v>6.6887932404183503E-3</v>
      </c>
      <c r="AC42" s="18">
        <v>2.65104038610776</v>
      </c>
      <c r="AD42" s="18">
        <v>0.188966238927188</v>
      </c>
      <c r="AE42" s="18">
        <v>2.2386265001851</v>
      </c>
      <c r="AF42" s="18">
        <v>0.14170754328189</v>
      </c>
      <c r="AG42" s="18">
        <v>0.88764899297306998</v>
      </c>
      <c r="AH42" s="18">
        <v>6.66403863147427E-2</v>
      </c>
      <c r="AI42" s="18">
        <v>357.57238698629197</v>
      </c>
      <c r="AJ42" s="18">
        <v>17.334254875384602</v>
      </c>
      <c r="AL42" s="18">
        <v>0.86708141060555599</v>
      </c>
      <c r="AM42" s="18">
        <v>0.201325571586987</v>
      </c>
    </row>
    <row r="43" spans="1:39" x14ac:dyDescent="0.2">
      <c r="A43" s="18" t="s">
        <v>303</v>
      </c>
      <c r="B43" s="18">
        <v>6.15963189025166</v>
      </c>
      <c r="C43" s="18">
        <v>0.12191943886619901</v>
      </c>
      <c r="D43" s="18">
        <v>0.30318683463522</v>
      </c>
      <c r="E43" s="18">
        <v>12668.6257954416</v>
      </c>
      <c r="F43" s="18">
        <v>110.945658321593</v>
      </c>
      <c r="G43" s="18">
        <v>275.89745553176101</v>
      </c>
      <c r="H43" s="18">
        <v>644.11211565818098</v>
      </c>
      <c r="I43" s="18">
        <v>12.5133948917449</v>
      </c>
      <c r="J43" s="18">
        <v>41.102917311428797</v>
      </c>
      <c r="K43" s="18">
        <v>6564.4158330776499</v>
      </c>
      <c r="L43" s="18">
        <v>19.852089561057099</v>
      </c>
      <c r="M43" s="18">
        <v>65.208426869475105</v>
      </c>
      <c r="N43" s="18">
        <v>22.257361316656699</v>
      </c>
      <c r="O43" s="18">
        <v>0.93807942353984797</v>
      </c>
      <c r="P43" s="18">
        <v>1.2098005097014499</v>
      </c>
      <c r="Q43" s="18">
        <v>63235.452857081102</v>
      </c>
      <c r="R43" s="18">
        <v>839.73017400018796</v>
      </c>
      <c r="S43" s="18">
        <v>1082.9637310277899</v>
      </c>
      <c r="T43" s="18">
        <v>0.75882311924161805</v>
      </c>
      <c r="U43" s="18">
        <v>9.1477954112499302E-3</v>
      </c>
      <c r="V43" s="18">
        <v>3.2088700229689897E-2</v>
      </c>
      <c r="W43" s="18">
        <v>4831.1458685879697</v>
      </c>
      <c r="X43" s="18">
        <v>16.238198095928301</v>
      </c>
      <c r="Y43" s="18">
        <v>56.960463974714798</v>
      </c>
      <c r="Z43" s="18">
        <v>0.16378554255745001</v>
      </c>
      <c r="AA43" s="18">
        <v>3.2381595786124301E-3</v>
      </c>
      <c r="AB43" s="18">
        <v>8.0525908076124406E-3</v>
      </c>
      <c r="AC43" s="18">
        <v>1.71007408383052</v>
      </c>
      <c r="AD43" s="18">
        <v>7.8802438868962599E-2</v>
      </c>
      <c r="AE43" s="18">
        <v>3.4502029732450299</v>
      </c>
      <c r="AF43" s="18">
        <v>0.22307691748285799</v>
      </c>
      <c r="AG43" s="18">
        <v>2.0574222722673299</v>
      </c>
      <c r="AH43" s="18">
        <v>0.15939408224291701</v>
      </c>
      <c r="AI43" s="18">
        <v>428.1219199734</v>
      </c>
      <c r="AJ43" s="18">
        <v>21.756826978987402</v>
      </c>
      <c r="AL43" s="18">
        <v>0.81881174938982704</v>
      </c>
      <c r="AM43" s="18">
        <v>0.32909323712002603</v>
      </c>
    </row>
    <row r="44" spans="1:39" x14ac:dyDescent="0.2">
      <c r="A44" s="18" t="s">
        <v>349</v>
      </c>
      <c r="B44" s="18">
        <v>4.5278716875085401</v>
      </c>
      <c r="C44" s="18">
        <v>4.4951357659281204</v>
      </c>
      <c r="D44" s="18">
        <v>4.4997674968161503</v>
      </c>
      <c r="E44" s="18">
        <v>16447.287423911101</v>
      </c>
      <c r="F44" s="18">
        <v>429.60038593897298</v>
      </c>
      <c r="G44" s="18">
        <v>430.04304072865602</v>
      </c>
      <c r="H44" s="18">
        <v>1014.12826581092</v>
      </c>
      <c r="I44" s="18">
        <v>556.62152158444405</v>
      </c>
      <c r="J44" s="18">
        <v>560.02564331445899</v>
      </c>
      <c r="K44" s="18">
        <v>7617.6374693197404</v>
      </c>
      <c r="L44" s="18">
        <v>60.230761850641599</v>
      </c>
      <c r="M44" s="18">
        <v>60.599114200093503</v>
      </c>
      <c r="N44" s="18">
        <v>-3.2877951004239998</v>
      </c>
      <c r="O44" s="18">
        <v>4.7093521673303496</v>
      </c>
      <c r="P44" s="18">
        <v>4.71070398995594</v>
      </c>
      <c r="Q44" s="18">
        <v>43042.631823657401</v>
      </c>
      <c r="R44" s="18">
        <v>323.22911366564801</v>
      </c>
      <c r="S44" s="18">
        <v>323.32189679453199</v>
      </c>
      <c r="T44" s="18">
        <v>0.34189321677506601</v>
      </c>
      <c r="U44" s="18">
        <v>0.367813284930819</v>
      </c>
      <c r="V44" s="18">
        <v>0.36807425361804103</v>
      </c>
      <c r="W44" s="18" t="s">
        <v>338</v>
      </c>
      <c r="X44" s="18" t="s">
        <v>338</v>
      </c>
      <c r="Y44" s="18" t="s">
        <v>338</v>
      </c>
      <c r="Z44" s="18">
        <v>9.0905742552050597E-2</v>
      </c>
      <c r="AA44" s="18">
        <v>2.3475577132773599E-2</v>
      </c>
      <c r="AB44" s="18">
        <v>2.3499766069745E-2</v>
      </c>
      <c r="AC44" s="18">
        <v>0.27243597043411899</v>
      </c>
      <c r="AD44" s="18">
        <v>1.2439853780212E-2</v>
      </c>
      <c r="AE44" s="18">
        <v>-3.2470221686777603E-4</v>
      </c>
      <c r="AF44" s="18">
        <v>1.8901481770427599E-5</v>
      </c>
      <c r="AG44" s="18">
        <v>-1.12518649563075E-3</v>
      </c>
      <c r="AH44" s="18">
        <v>1.5806368243033499E-5</v>
      </c>
      <c r="AI44" s="18">
        <v>3.8422018102324401E-2</v>
      </c>
      <c r="AJ44" s="18">
        <v>5.33529410365607E-2</v>
      </c>
      <c r="AL44" s="18">
        <v>9.3604429143043094E-2</v>
      </c>
      <c r="AM44" s="18">
        <v>-6.7318256126057005E-2</v>
      </c>
    </row>
    <row r="45" spans="1:39" x14ac:dyDescent="0.2">
      <c r="A45" s="18" t="s">
        <v>304</v>
      </c>
      <c r="B45" s="18">
        <v>14.019794868624301</v>
      </c>
      <c r="C45" s="18">
        <v>0.37419638500747598</v>
      </c>
      <c r="D45" s="18">
        <v>0.73427788305339703</v>
      </c>
      <c r="E45" s="18">
        <v>17396.1956110151</v>
      </c>
      <c r="F45" s="18">
        <v>155.084512713317</v>
      </c>
      <c r="G45" s="18">
        <v>304.31915499992698</v>
      </c>
      <c r="H45" s="18">
        <v>1430.1387596535801</v>
      </c>
      <c r="I45" s="18">
        <v>37.357924647836597</v>
      </c>
      <c r="J45" s="18">
        <v>94.607028366766002</v>
      </c>
      <c r="K45" s="18">
        <v>7372.4415429034998</v>
      </c>
      <c r="L45" s="18">
        <v>26.7540353986413</v>
      </c>
      <c r="M45" s="18">
        <v>67.753222636024802</v>
      </c>
      <c r="N45" s="18">
        <v>6.2163675930204896</v>
      </c>
      <c r="O45" s="18">
        <v>0.181731022998529</v>
      </c>
      <c r="P45" s="18">
        <v>0.28028978070217297</v>
      </c>
      <c r="Q45" s="18">
        <v>39713.551802572503</v>
      </c>
      <c r="R45" s="18">
        <v>508.10046715077101</v>
      </c>
      <c r="S45" s="18">
        <v>783.66019275374094</v>
      </c>
      <c r="T45" s="18">
        <v>0.73810646973516303</v>
      </c>
      <c r="U45" s="18">
        <v>5.6303740039235E-3</v>
      </c>
      <c r="V45" s="18">
        <v>3.04425545031402E-2</v>
      </c>
      <c r="W45" s="18">
        <v>4804.4743736870196</v>
      </c>
      <c r="X45" s="18">
        <v>11.0107836784501</v>
      </c>
      <c r="Y45" s="18">
        <v>59.533590844928597</v>
      </c>
      <c r="Z45" s="18">
        <v>7.2437060050794103E-2</v>
      </c>
      <c r="AA45" s="18">
        <v>1.8995064709832401E-3</v>
      </c>
      <c r="AB45" s="18">
        <v>3.72736254609176E-3</v>
      </c>
      <c r="AC45" s="18">
        <v>0.215169397006897</v>
      </c>
      <c r="AD45" s="18">
        <v>9.2110273506130508E-3</v>
      </c>
      <c r="AE45" s="18">
        <v>2.8146512125984202</v>
      </c>
      <c r="AF45" s="18">
        <v>0.142532437956295</v>
      </c>
      <c r="AG45" s="18">
        <v>12.565631246898199</v>
      </c>
      <c r="AH45" s="18">
        <v>0.35545384587296203</v>
      </c>
      <c r="AI45" s="18">
        <v>787.35730671565398</v>
      </c>
      <c r="AJ45" s="18">
        <v>27.626470451009901</v>
      </c>
      <c r="AL45" s="18">
        <v>0.95790876492960997</v>
      </c>
      <c r="AM45" s="18">
        <v>0.23450697802367201</v>
      </c>
    </row>
    <row r="46" spans="1:39" x14ac:dyDescent="0.2">
      <c r="A46" s="18" t="s">
        <v>305</v>
      </c>
      <c r="B46" s="18">
        <v>0.37815186061443401</v>
      </c>
      <c r="C46" s="18">
        <v>3.2117575084412101E-3</v>
      </c>
      <c r="D46" s="18">
        <v>1.7349282438162399E-2</v>
      </c>
      <c r="E46" s="18">
        <v>2067.0072668673001</v>
      </c>
      <c r="F46" s="18">
        <v>14.9951019401019</v>
      </c>
      <c r="G46" s="18">
        <v>81.000591752061098</v>
      </c>
      <c r="H46" s="18">
        <v>6.7097614469664597</v>
      </c>
      <c r="I46" s="18">
        <v>9.9725969496350902E-2</v>
      </c>
      <c r="J46" s="18">
        <v>0.41992110117763498</v>
      </c>
      <c r="K46" s="18">
        <v>2072.3429863472502</v>
      </c>
      <c r="L46" s="18">
        <v>13.462623480974299</v>
      </c>
      <c r="M46" s="18">
        <v>56.687738463926003</v>
      </c>
      <c r="N46" s="18">
        <v>0.10647059964247001</v>
      </c>
      <c r="O46" s="18">
        <v>2.2686861633671898E-3</v>
      </c>
      <c r="P46" s="18">
        <v>4.30132662707082E-3</v>
      </c>
      <c r="Q46" s="18">
        <v>2043.43014933173</v>
      </c>
      <c r="R46" s="18">
        <v>41.394345317145799</v>
      </c>
      <c r="S46" s="18">
        <v>78.481811454493894</v>
      </c>
      <c r="T46" s="18">
        <v>0.12886183048566099</v>
      </c>
      <c r="U46" s="18">
        <v>1.98664720972232E-3</v>
      </c>
      <c r="V46" s="18">
        <v>5.5883363463318497E-3</v>
      </c>
      <c r="W46" s="18">
        <v>2072.5006694970798</v>
      </c>
      <c r="X46" s="18">
        <v>27.294700840503399</v>
      </c>
      <c r="Y46" s="18">
        <v>76.778588580183396</v>
      </c>
      <c r="Z46" s="18">
        <v>2.6432093264776499</v>
      </c>
      <c r="AA46" s="18">
        <v>2.2270035624646599E-2</v>
      </c>
      <c r="AB46" s="18">
        <v>0.120298352831578</v>
      </c>
      <c r="AC46" s="18">
        <v>1.4562463786997299</v>
      </c>
      <c r="AD46" s="18">
        <v>1.33900485134052E-2</v>
      </c>
      <c r="AE46" s="18">
        <v>100.318084987492</v>
      </c>
      <c r="AF46" s="18">
        <v>2.9373061932768101</v>
      </c>
      <c r="AG46" s="18">
        <v>66.099666308913598</v>
      </c>
      <c r="AH46" s="18">
        <v>1.9345461677751099</v>
      </c>
      <c r="AI46" s="18">
        <v>71.082621978260406</v>
      </c>
      <c r="AJ46" s="18">
        <v>2.0668557035391002</v>
      </c>
      <c r="AL46" s="18">
        <v>0.27314385445042599</v>
      </c>
      <c r="AM46" s="18">
        <v>0.29979749601858502</v>
      </c>
    </row>
    <row r="47" spans="1:39" x14ac:dyDescent="0.2">
      <c r="A47" s="18" t="s">
        <v>350</v>
      </c>
      <c r="B47" s="18">
        <v>-2.7465053480836499</v>
      </c>
      <c r="C47" s="18">
        <v>2.1927162486698899</v>
      </c>
      <c r="D47" s="18">
        <v>2.1962085703115002</v>
      </c>
      <c r="E47" s="18">
        <v>7708.1398894323602</v>
      </c>
      <c r="F47" s="18">
        <v>964.68486392330897</v>
      </c>
      <c r="G47" s="18">
        <v>966.22130979479903</v>
      </c>
      <c r="H47" s="18">
        <v>-113.572850580722</v>
      </c>
      <c r="I47" s="18">
        <v>262.89229809015598</v>
      </c>
      <c r="J47" s="18">
        <v>262.98294175489002</v>
      </c>
      <c r="K47" s="18">
        <v>6553.7781569355502</v>
      </c>
      <c r="L47" s="18">
        <v>32.848066953992102</v>
      </c>
      <c r="M47" s="18">
        <v>32.8593927676039</v>
      </c>
      <c r="N47" s="18">
        <v>23.986569567914199</v>
      </c>
      <c r="O47" s="18">
        <v>25.091603986691499</v>
      </c>
      <c r="P47" s="18">
        <v>25.105108400735499</v>
      </c>
      <c r="Q47" s="18">
        <v>85476.432133392897</v>
      </c>
      <c r="R47" s="18">
        <v>1023.62062513155</v>
      </c>
      <c r="S47" s="18">
        <v>1024.1715423528201</v>
      </c>
      <c r="T47" s="18">
        <v>-0.21045173298606101</v>
      </c>
      <c r="U47" s="18">
        <v>0.38861946609815401</v>
      </c>
      <c r="V47" s="18">
        <v>0.38871307431534402</v>
      </c>
      <c r="W47" s="18" t="s">
        <v>338</v>
      </c>
      <c r="X47" s="18" t="s">
        <v>338</v>
      </c>
      <c r="Y47" s="18" t="s">
        <v>338</v>
      </c>
      <c r="Z47" s="18">
        <v>-1.2286428441811801</v>
      </c>
      <c r="AA47" s="18">
        <v>0.55381086711177596</v>
      </c>
      <c r="AB47" s="18">
        <v>0.55469291725289604</v>
      </c>
      <c r="AC47" s="18">
        <v>-53.211669924772202</v>
      </c>
      <c r="AD47" s="18">
        <v>16.950647653775</v>
      </c>
      <c r="AE47" s="18">
        <v>9.6742904424000197E-3</v>
      </c>
      <c r="AF47" s="18">
        <v>2.9666591883293599E-3</v>
      </c>
      <c r="AG47" s="18">
        <v>-1.7385353584060801E-4</v>
      </c>
      <c r="AH47" s="18">
        <v>8.5134309970467996E-6</v>
      </c>
      <c r="AI47" s="18">
        <v>1.6518201854955001E-3</v>
      </c>
      <c r="AJ47" s="18">
        <v>5.2824465631580497E-2</v>
      </c>
      <c r="AL47" s="18">
        <v>-0.13922690485963901</v>
      </c>
      <c r="AM47" s="18">
        <v>-3.9416561154783099E-2</v>
      </c>
    </row>
    <row r="48" spans="1:39" x14ac:dyDescent="0.2">
      <c r="A48" s="18" t="s">
        <v>306</v>
      </c>
      <c r="B48" s="18">
        <v>10.401304779391699</v>
      </c>
      <c r="C48" s="18">
        <v>0.362718531986012</v>
      </c>
      <c r="D48" s="18">
        <v>0.59273908820906196</v>
      </c>
      <c r="E48" s="18">
        <v>15574.4559721677</v>
      </c>
      <c r="F48" s="18">
        <v>199.570431372179</v>
      </c>
      <c r="G48" s="18">
        <v>326.129450506257</v>
      </c>
      <c r="H48" s="18">
        <v>1098.3305145376601</v>
      </c>
      <c r="I48" s="18">
        <v>38.837533217346</v>
      </c>
      <c r="J48" s="18">
        <v>77.238348483879605</v>
      </c>
      <c r="K48" s="18">
        <v>7087.78704010212</v>
      </c>
      <c r="L48" s="18">
        <v>35.143665192297597</v>
      </c>
      <c r="M48" s="18">
        <v>69.892149018133907</v>
      </c>
      <c r="N48" s="18">
        <v>0.81297647507974302</v>
      </c>
      <c r="O48" s="18">
        <v>2.42643264175561E-2</v>
      </c>
      <c r="P48" s="18">
        <v>3.6976751715191998E-2</v>
      </c>
      <c r="Q48" s="18">
        <v>11958.6612072305</v>
      </c>
      <c r="R48" s="18">
        <v>273.45417320098397</v>
      </c>
      <c r="S48" s="18">
        <v>416.72069910087998</v>
      </c>
      <c r="T48" s="18">
        <v>0.765430636688472</v>
      </c>
      <c r="U48" s="18">
        <v>7.8620153588293898E-3</v>
      </c>
      <c r="V48" s="18">
        <v>3.2006312066763298E-2</v>
      </c>
      <c r="W48" s="18">
        <v>4847.90828396911</v>
      </c>
      <c r="X48" s="18">
        <v>13.2567080380369</v>
      </c>
      <c r="Y48" s="18">
        <v>53.968138585086002</v>
      </c>
      <c r="Z48" s="18">
        <v>9.99718037882803E-2</v>
      </c>
      <c r="AA48" s="18">
        <v>3.3406465357866898E-3</v>
      </c>
      <c r="AB48" s="18">
        <v>5.45914147482083E-3</v>
      </c>
      <c r="AC48" s="18">
        <v>3.8089310677536903E-2</v>
      </c>
      <c r="AD48" s="18">
        <v>9.1671072369179198E-4</v>
      </c>
      <c r="AE48" s="18">
        <v>2.6069431935517602</v>
      </c>
      <c r="AF48" s="18">
        <v>0.18559699483268399</v>
      </c>
      <c r="AG48" s="18">
        <v>66.010112750039895</v>
      </c>
      <c r="AH48" s="18">
        <v>4.91472229240446</v>
      </c>
      <c r="AI48" s="18">
        <v>509.737436939303</v>
      </c>
      <c r="AJ48" s="18">
        <v>21.969818585462001</v>
      </c>
      <c r="AL48" s="18">
        <v>0.95332903133731295</v>
      </c>
      <c r="AM48" s="18">
        <v>3.8055388270617399E-2</v>
      </c>
    </row>
    <row r="49" spans="1:39" x14ac:dyDescent="0.2">
      <c r="A49" s="18" t="s">
        <v>307</v>
      </c>
      <c r="B49" s="18">
        <v>2.3614636212022102</v>
      </c>
      <c r="C49" s="18">
        <v>3.5902810919642897E-2</v>
      </c>
      <c r="D49" s="18">
        <v>0.112279605266976</v>
      </c>
      <c r="E49" s="18">
        <v>7801.8744286453102</v>
      </c>
      <c r="F49" s="18">
        <v>69.582824600416799</v>
      </c>
      <c r="G49" s="18">
        <v>217.60781062469999</v>
      </c>
      <c r="H49" s="18">
        <v>261.78408049251902</v>
      </c>
      <c r="I49" s="18">
        <v>3.9662800355827801</v>
      </c>
      <c r="J49" s="18">
        <v>16.391965369134699</v>
      </c>
      <c r="K49" s="18">
        <v>5652.7477650458204</v>
      </c>
      <c r="L49" s="18">
        <v>15.5159555882676</v>
      </c>
      <c r="M49" s="18">
        <v>64.1248233584556</v>
      </c>
      <c r="N49" s="18">
        <v>188.17926480145101</v>
      </c>
      <c r="O49" s="18">
        <v>23.156791278448701</v>
      </c>
      <c r="P49" s="18">
        <v>24.040719666041401</v>
      </c>
      <c r="Q49" s="18">
        <v>98437.148520667106</v>
      </c>
      <c r="R49" s="18">
        <v>3274.5883511519501</v>
      </c>
      <c r="S49" s="18">
        <v>3399.5841489919299</v>
      </c>
      <c r="T49" s="18">
        <v>0.80268156911576904</v>
      </c>
      <c r="U49" s="18">
        <v>4.5976857534461499E-3</v>
      </c>
      <c r="V49" s="18">
        <v>3.2860739004269099E-2</v>
      </c>
      <c r="W49" s="18">
        <v>4920.8180420267599</v>
      </c>
      <c r="X49" s="18">
        <v>7.8231921023116202</v>
      </c>
      <c r="Y49" s="18">
        <v>55.914189798994499</v>
      </c>
      <c r="Z49" s="18">
        <v>0.42591333267954701</v>
      </c>
      <c r="AA49" s="18">
        <v>6.7086703281361701E-3</v>
      </c>
      <c r="AB49" s="18">
        <v>2.0980163865033E-2</v>
      </c>
      <c r="AC49" s="18">
        <v>42.678631019147304</v>
      </c>
      <c r="AD49" s="18">
        <v>5.5582740318754196</v>
      </c>
      <c r="AE49" s="18">
        <v>58.248486667467702</v>
      </c>
      <c r="AF49" s="18">
        <v>3.46308055788151</v>
      </c>
      <c r="AG49" s="18">
        <v>2.4779188423112601</v>
      </c>
      <c r="AH49" s="18">
        <v>0.32012705345693099</v>
      </c>
      <c r="AI49" s="18">
        <v>2560.6716710334899</v>
      </c>
      <c r="AJ49" s="18">
        <v>104.96619907644001</v>
      </c>
      <c r="AL49" s="18">
        <v>0.92575302540011895</v>
      </c>
      <c r="AM49" s="18">
        <v>8.2751858181713503E-2</v>
      </c>
    </row>
    <row r="50" spans="1:39" x14ac:dyDescent="0.2">
      <c r="A50" s="18" t="s">
        <v>308</v>
      </c>
      <c r="B50" s="18">
        <v>1.8232163864420399E-2</v>
      </c>
      <c r="C50" s="18">
        <v>0.90996326371720504</v>
      </c>
      <c r="D50" s="18">
        <v>0.90996363343902797</v>
      </c>
      <c r="E50" s="18">
        <v>3308.1448763307699</v>
      </c>
      <c r="F50" s="18">
        <v>706.48502970868299</v>
      </c>
      <c r="G50" s="18">
        <v>706.48531675646097</v>
      </c>
      <c r="H50" s="18">
        <v>98.074783139973107</v>
      </c>
      <c r="I50" s="18">
        <v>25.945339556495099</v>
      </c>
      <c r="J50" s="18">
        <v>26.6215891408864</v>
      </c>
      <c r="K50" s="18">
        <v>3790.0170166339999</v>
      </c>
      <c r="L50" s="18">
        <v>499.07341806070002</v>
      </c>
      <c r="M50" s="18">
        <v>512.08146487424699</v>
      </c>
      <c r="N50" s="18">
        <v>-113.149394221612</v>
      </c>
      <c r="O50" s="18">
        <v>110.40441714396</v>
      </c>
      <c r="P50" s="18">
        <v>110.472706142836</v>
      </c>
      <c r="Q50" s="18">
        <v>65569.672218506894</v>
      </c>
      <c r="R50" s="18">
        <v>8382.2188057623807</v>
      </c>
      <c r="S50" s="18">
        <v>8387.4035016777307</v>
      </c>
      <c r="T50" s="18">
        <v>0.432932588712577</v>
      </c>
      <c r="U50" s="18">
        <v>7.5306498243972994E-2</v>
      </c>
      <c r="V50" s="18">
        <v>7.7324007065486602E-2</v>
      </c>
      <c r="W50" s="18">
        <v>4386.8918891496996</v>
      </c>
      <c r="X50" s="18">
        <v>128.38095338009001</v>
      </c>
      <c r="Y50" s="18">
        <v>131.82036049632001</v>
      </c>
      <c r="Z50" s="18">
        <v>-0.90824919910861102</v>
      </c>
      <c r="AA50" s="18">
        <v>1.44838810839953</v>
      </c>
      <c r="AB50" s="18">
        <v>1.4483886968855899</v>
      </c>
      <c r="AC50" s="18">
        <v>-1138.8251650674099</v>
      </c>
      <c r="AD50" s="18">
        <v>338.42002193752501</v>
      </c>
      <c r="AE50" s="18">
        <v>0.180675794796058</v>
      </c>
      <c r="AF50" s="18">
        <v>4.3175673996888E-2</v>
      </c>
      <c r="AG50" s="18">
        <v>3.0446994382773099E-2</v>
      </c>
      <c r="AH50" s="18">
        <v>8.5434627035693E-3</v>
      </c>
      <c r="AI50" s="18">
        <v>0.19856457982716899</v>
      </c>
      <c r="AJ50" s="18">
        <v>0.10345656107662</v>
      </c>
      <c r="AL50" s="18">
        <v>0.16915786899169899</v>
      </c>
      <c r="AM50" s="18">
        <v>0.25924652749239002</v>
      </c>
    </row>
    <row r="51" spans="1:39" x14ac:dyDescent="0.2">
      <c r="A51" s="18" t="s">
        <v>351</v>
      </c>
      <c r="B51" s="18">
        <v>-5.5176884173862399</v>
      </c>
      <c r="C51" s="18">
        <v>7.4900224824370296</v>
      </c>
      <c r="D51" s="18">
        <v>7.4941508219974198</v>
      </c>
      <c r="E51" s="18">
        <v>15517.9917609191</v>
      </c>
      <c r="F51" s="18">
        <v>1175.1941848363999</v>
      </c>
      <c r="G51" s="18">
        <v>1175.8419266363401</v>
      </c>
      <c r="H51" s="18">
        <v>-457.53499983260701</v>
      </c>
      <c r="I51" s="18">
        <v>787.55182335938503</v>
      </c>
      <c r="J51" s="18">
        <v>788.042813642542</v>
      </c>
      <c r="K51" s="18">
        <v>7260.1496100190898</v>
      </c>
      <c r="L51" s="18">
        <v>65.759214557467104</v>
      </c>
      <c r="M51" s="18">
        <v>65.800211396555198</v>
      </c>
      <c r="N51" s="18">
        <v>-6.3157476483745896</v>
      </c>
      <c r="O51" s="18">
        <v>36.049032821799102</v>
      </c>
      <c r="P51" s="18">
        <v>36.049684282986199</v>
      </c>
      <c r="Q51" s="18">
        <v>81736.518869831605</v>
      </c>
      <c r="R51" s="18">
        <v>790.13948243375501</v>
      </c>
      <c r="S51" s="18">
        <v>790.15376146331198</v>
      </c>
      <c r="T51" s="18">
        <v>-0.244053306520708</v>
      </c>
      <c r="U51" s="18">
        <v>0.35507388987050698</v>
      </c>
      <c r="V51" s="18">
        <v>0.35521165675618999</v>
      </c>
      <c r="W51" s="18">
        <v>4525.8738147793601</v>
      </c>
      <c r="X51" s="18">
        <v>1.31666217496619</v>
      </c>
      <c r="Y51" s="18">
        <v>1.3171730332762901</v>
      </c>
      <c r="Z51" s="18">
        <v>9.4635747389124197E-2</v>
      </c>
      <c r="AA51" s="18">
        <v>3.6502654898562699E-2</v>
      </c>
      <c r="AB51" s="18">
        <v>3.6522774378127697E-2</v>
      </c>
      <c r="AC51" s="18">
        <v>-17.266486777775398</v>
      </c>
      <c r="AD51" s="18">
        <v>11.718648606992801</v>
      </c>
      <c r="AE51" s="18">
        <v>3.6875491606250701E-3</v>
      </c>
      <c r="AF51" s="18">
        <v>1.84056892036999E-3</v>
      </c>
      <c r="AG51" s="18">
        <v>-1.0396017438786E-4</v>
      </c>
      <c r="AH51" s="18">
        <v>4.4967021238373698E-6</v>
      </c>
      <c r="AI51" s="18">
        <v>4.5244314989698303E-2</v>
      </c>
      <c r="AJ51" s="18">
        <v>5.0074007656067801E-2</v>
      </c>
      <c r="AL51" s="18">
        <v>-5.8953999906457201E-2</v>
      </c>
      <c r="AM51" s="18">
        <v>1.6743539169345401E-2</v>
      </c>
    </row>
    <row r="52" spans="1:39" x14ac:dyDescent="0.2">
      <c r="A52" s="18" t="s">
        <v>309</v>
      </c>
      <c r="B52" s="18">
        <v>6.4298975955186002</v>
      </c>
      <c r="C52" s="18">
        <v>0.11864866183325801</v>
      </c>
      <c r="D52" s="18">
        <v>0.31314775798626598</v>
      </c>
      <c r="E52" s="18">
        <v>12898.9394347247</v>
      </c>
      <c r="F52" s="18">
        <v>101.52846050714</v>
      </c>
      <c r="G52" s="18">
        <v>267.962649459028</v>
      </c>
      <c r="H52" s="18">
        <v>684.86492759065197</v>
      </c>
      <c r="I52" s="18">
        <v>10.6699312230835</v>
      </c>
      <c r="J52" s="18">
        <v>42.978697858828298</v>
      </c>
      <c r="K52" s="18">
        <v>6626.66563010547</v>
      </c>
      <c r="L52" s="18">
        <v>15.7876363513305</v>
      </c>
      <c r="M52" s="18">
        <v>63.592917185908298</v>
      </c>
      <c r="N52" s="18">
        <v>10.764244722349501</v>
      </c>
      <c r="O52" s="18">
        <v>0.76578482706956197</v>
      </c>
      <c r="P52" s="18">
        <v>0.85026324407251797</v>
      </c>
      <c r="Q52" s="18">
        <v>48414.308134789098</v>
      </c>
      <c r="R52" s="18">
        <v>1434.5908461291799</v>
      </c>
      <c r="S52" s="18">
        <v>1592.84935353745</v>
      </c>
      <c r="T52" s="18">
        <v>0.77418841417849005</v>
      </c>
      <c r="U52" s="18">
        <v>7.7345998829702802E-3</v>
      </c>
      <c r="V52" s="18">
        <v>3.2318901939755597E-2</v>
      </c>
      <c r="W52" s="18">
        <v>4858.6347671506901</v>
      </c>
      <c r="X52" s="18">
        <v>13.072107413481699</v>
      </c>
      <c r="Y52" s="18">
        <v>54.621591812714001</v>
      </c>
      <c r="Z52" s="18">
        <v>0.15696467123845001</v>
      </c>
      <c r="AA52" s="18">
        <v>2.8225979521131401E-3</v>
      </c>
      <c r="AB52" s="18">
        <v>7.4496433987854696E-3</v>
      </c>
      <c r="AC52" s="18">
        <v>0.82825717554647404</v>
      </c>
      <c r="AD52" s="18">
        <v>6.3208033633948002E-2</v>
      </c>
      <c r="AE52" s="18">
        <v>4.6979023303450598</v>
      </c>
      <c r="AF52" s="18">
        <v>0.21338436669784</v>
      </c>
      <c r="AG52" s="18">
        <v>6.0752289880812498</v>
      </c>
      <c r="AH52" s="18">
        <v>0.33168349211223802</v>
      </c>
      <c r="AI52" s="18">
        <v>606.79613905626695</v>
      </c>
      <c r="AJ52" s="18">
        <v>23.471890280679901</v>
      </c>
      <c r="AL52" s="18">
        <v>0.82857080274961503</v>
      </c>
      <c r="AM52" s="18">
        <v>0.50512623002670698</v>
      </c>
    </row>
    <row r="53" spans="1:39" x14ac:dyDescent="0.2">
      <c r="A53" s="18" t="s">
        <v>352</v>
      </c>
      <c r="B53" s="18">
        <v>-2.20912735110588</v>
      </c>
      <c r="C53" s="18">
        <v>3.9421988185380501</v>
      </c>
      <c r="D53" s="18">
        <v>3.94345644109098</v>
      </c>
      <c r="E53" s="18">
        <v>14644.017920014599</v>
      </c>
      <c r="F53" s="18">
        <v>254.77690243759201</v>
      </c>
      <c r="G53" s="18">
        <v>254.858180220175</v>
      </c>
      <c r="H53" s="18">
        <v>15.226456714819699</v>
      </c>
      <c r="I53" s="18">
        <v>446.876191296277</v>
      </c>
      <c r="J53" s="18">
        <v>446.87714988698502</v>
      </c>
      <c r="K53" s="18">
        <v>6968.2357811557504</v>
      </c>
      <c r="L53" s="18">
        <v>30.5116844462937</v>
      </c>
      <c r="M53" s="18">
        <v>30.511749896675202</v>
      </c>
      <c r="N53" s="18">
        <v>35.629507174543903</v>
      </c>
      <c r="O53" s="18">
        <v>107.051283374109</v>
      </c>
      <c r="P53" s="18">
        <v>107.05826906120301</v>
      </c>
      <c r="Q53" s="18">
        <v>159028.749293734</v>
      </c>
      <c r="R53" s="18">
        <v>5302.84541005745</v>
      </c>
      <c r="S53" s="18">
        <v>5303.1914499887498</v>
      </c>
      <c r="T53" s="18">
        <v>-2.8482919278974499E-2</v>
      </c>
      <c r="U53" s="18">
        <v>0.34746265786944402</v>
      </c>
      <c r="V53" s="18">
        <v>0.34746457587801199</v>
      </c>
      <c r="W53" s="18">
        <v>4888.0957902401797</v>
      </c>
      <c r="X53" s="18">
        <v>5.4002568563838098</v>
      </c>
      <c r="Y53" s="18">
        <v>5.4002866660300599</v>
      </c>
      <c r="Z53" s="18">
        <v>4.7734196112585503E-2</v>
      </c>
      <c r="AA53" s="18">
        <v>9.7914009655723902E-2</v>
      </c>
      <c r="AB53" s="18">
        <v>9.7945245743110296E-2</v>
      </c>
      <c r="AC53" s="18">
        <v>17.8773805134805</v>
      </c>
      <c r="AD53" s="18">
        <v>24.023995562803801</v>
      </c>
      <c r="AE53" s="18">
        <v>-5.1080528443008205E-4</v>
      </c>
      <c r="AF53" s="18">
        <v>1.02443828581518E-5</v>
      </c>
      <c r="AG53" s="18">
        <v>4.4614671516255399E-5</v>
      </c>
      <c r="AH53" s="18">
        <v>2.6417494615752698E-6</v>
      </c>
      <c r="AI53" s="18">
        <v>5.0396920328765298E-2</v>
      </c>
      <c r="AJ53" s="18">
        <v>5.1700113244421197E-2</v>
      </c>
      <c r="AL53" s="18">
        <v>-4.8130774204034998E-2</v>
      </c>
      <c r="AM53" s="18">
        <v>9.0387706080179604E-3</v>
      </c>
    </row>
    <row r="54" spans="1:39" x14ac:dyDescent="0.2">
      <c r="A54" s="18" t="s">
        <v>310</v>
      </c>
      <c r="B54" s="18">
        <v>7.8407323616470004</v>
      </c>
      <c r="C54" s="18">
        <v>12.314761983896901</v>
      </c>
      <c r="D54" s="18">
        <v>12.319834891955599</v>
      </c>
      <c r="E54" s="18">
        <v>16463.657356584601</v>
      </c>
      <c r="F54" s="18">
        <v>503.19983621001097</v>
      </c>
      <c r="G54" s="18">
        <v>503.40712292067502</v>
      </c>
      <c r="H54" s="18">
        <v>661.27054592773595</v>
      </c>
      <c r="I54" s="18">
        <v>1552.4651329312701</v>
      </c>
      <c r="J54" s="18">
        <v>1552.98587072026</v>
      </c>
      <c r="K54" s="18">
        <v>7213.1684233179603</v>
      </c>
      <c r="L54" s="18">
        <v>94.737389293864197</v>
      </c>
      <c r="M54" s="18">
        <v>94.769166715198295</v>
      </c>
      <c r="N54" s="18">
        <v>2.1810137393578999</v>
      </c>
      <c r="O54" s="18">
        <v>0.45659730853208402</v>
      </c>
      <c r="P54" s="18">
        <v>0.46269379827478302</v>
      </c>
      <c r="Q54" s="18">
        <v>19291.2271707295</v>
      </c>
      <c r="R54" s="18">
        <v>1177.2436153255301</v>
      </c>
      <c r="S54" s="18">
        <v>1192.96217846942</v>
      </c>
      <c r="T54" s="18">
        <v>0.75799882195965296</v>
      </c>
      <c r="U54" s="18">
        <v>2.41796437100259E-2</v>
      </c>
      <c r="V54" s="18">
        <v>3.9097394089209397E-2</v>
      </c>
      <c r="W54" s="18">
        <v>4717.77943231262</v>
      </c>
      <c r="X54" s="18">
        <v>42.559721042462897</v>
      </c>
      <c r="Y54" s="18">
        <v>68.817150735518695</v>
      </c>
      <c r="Z54" s="18">
        <v>9.0250860008505102E-2</v>
      </c>
      <c r="AA54" s="18">
        <v>6.9206093417011998E-3</v>
      </c>
      <c r="AB54" s="18">
        <v>6.9234601978481998E-3</v>
      </c>
      <c r="AC54" s="18">
        <v>9.5320001505503904E-2</v>
      </c>
      <c r="AD54" s="18">
        <v>2.5958221059202001E-2</v>
      </c>
      <c r="AE54" s="18">
        <v>0.24161851590676001</v>
      </c>
      <c r="AF54" s="18">
        <v>2.4618868114210001E-2</v>
      </c>
      <c r="AG54" s="18">
        <v>4.2074148975896204</v>
      </c>
      <c r="AH54" s="18">
        <v>0.453756682057672</v>
      </c>
      <c r="AI54" s="18">
        <v>60.178272596199498</v>
      </c>
      <c r="AJ54" s="18">
        <v>5.3113337759102004</v>
      </c>
      <c r="AL54" s="18">
        <v>0.99889512356602905</v>
      </c>
      <c r="AM54" s="18">
        <v>9.6499757818090504E-2</v>
      </c>
    </row>
    <row r="55" spans="1:39" x14ac:dyDescent="0.2">
      <c r="A55" s="18" t="s">
        <v>311</v>
      </c>
      <c r="B55" s="18">
        <v>0.24991958144712201</v>
      </c>
      <c r="C55" s="18">
        <v>2.0270484907367798E-3</v>
      </c>
      <c r="D55" s="18">
        <v>1.14485753836984E-2</v>
      </c>
      <c r="E55" s="18">
        <v>1437.75242673446</v>
      </c>
      <c r="F55" s="18">
        <v>10.4337699925079</v>
      </c>
      <c r="G55" s="18">
        <v>58.928931814541698</v>
      </c>
      <c r="H55" s="18">
        <v>3.1965646707121702</v>
      </c>
      <c r="I55" s="18">
        <v>5.5009367639167799E-2</v>
      </c>
      <c r="J55" s="18">
        <v>0.20200863330115401</v>
      </c>
      <c r="K55" s="18">
        <v>1453.11670311427</v>
      </c>
      <c r="L55" s="18">
        <v>13.407373077937599</v>
      </c>
      <c r="M55" s="18">
        <v>49.235343503647499</v>
      </c>
      <c r="N55" s="18">
        <v>2.0589695581823698E-2</v>
      </c>
      <c r="O55" s="18">
        <v>6.3324135919527497E-4</v>
      </c>
      <c r="P55" s="18">
        <v>9.4894653928982795E-4</v>
      </c>
      <c r="Q55" s="18">
        <v>411.79556847660001</v>
      </c>
      <c r="R55" s="18">
        <v>12.518606519890801</v>
      </c>
      <c r="S55" s="18">
        <v>18.7598111861771</v>
      </c>
      <c r="T55" s="18">
        <v>9.2737857437306406E-2</v>
      </c>
      <c r="U55" s="18">
        <v>1.61519835166552E-3</v>
      </c>
      <c r="V55" s="18">
        <v>4.0912486507182202E-3</v>
      </c>
      <c r="W55" s="18">
        <v>1468.36921494746</v>
      </c>
      <c r="X55" s="18">
        <v>33.390302098777802</v>
      </c>
      <c r="Y55" s="18">
        <v>84.576626931196799</v>
      </c>
      <c r="Z55" s="18">
        <v>3.9960983375661101</v>
      </c>
      <c r="AA55" s="18">
        <v>3.2824353051124799E-2</v>
      </c>
      <c r="AB55" s="18">
        <v>0.18538879658983501</v>
      </c>
      <c r="AC55" s="18">
        <v>0.63643955973925603</v>
      </c>
      <c r="AD55" s="18">
        <v>1.3876696913153399E-2</v>
      </c>
      <c r="AE55" s="18">
        <v>144.331770849431</v>
      </c>
      <c r="AF55" s="18">
        <v>1.33180584255544</v>
      </c>
      <c r="AG55" s="18">
        <v>220.18513040509899</v>
      </c>
      <c r="AH55" s="18">
        <v>5.4580795863908396</v>
      </c>
      <c r="AI55" s="18">
        <v>45.253029687953799</v>
      </c>
      <c r="AJ55" s="18">
        <v>1.1974146361242199</v>
      </c>
      <c r="AL55" s="18">
        <v>0.21000629221925701</v>
      </c>
      <c r="AM55" s="18">
        <v>0.281265766477659</v>
      </c>
    </row>
    <row r="56" spans="1:39" x14ac:dyDescent="0.2">
      <c r="A56" s="18" t="s">
        <v>312</v>
      </c>
      <c r="B56" s="18">
        <v>0.33895931702965099</v>
      </c>
      <c r="C56" s="18">
        <v>3.1222784222980299E-3</v>
      </c>
      <c r="D56" s="18">
        <v>1.55913734074712E-2</v>
      </c>
      <c r="E56" s="18">
        <v>1881.0214610990299</v>
      </c>
      <c r="F56" s="18">
        <v>15.032751797998101</v>
      </c>
      <c r="G56" s="18">
        <v>75.067375462280296</v>
      </c>
      <c r="H56" s="18">
        <v>5.3378280080601099</v>
      </c>
      <c r="I56" s="18">
        <v>0.11573087188700899</v>
      </c>
      <c r="J56" s="18">
        <v>0.344511917854605</v>
      </c>
      <c r="K56" s="18">
        <v>1871.1003271232901</v>
      </c>
      <c r="L56" s="18">
        <v>18.9284587604193</v>
      </c>
      <c r="M56" s="18">
        <v>56.346932527654097</v>
      </c>
      <c r="N56" s="18">
        <v>9.7823330435353295E-2</v>
      </c>
      <c r="O56" s="18">
        <v>4.1342995123210702E-3</v>
      </c>
      <c r="P56" s="18">
        <v>5.3260195956667498E-3</v>
      </c>
      <c r="Q56" s="18">
        <v>1891.40555729792</v>
      </c>
      <c r="R56" s="18">
        <v>78.309674248442803</v>
      </c>
      <c r="S56" s="18">
        <v>100.88259409713901</v>
      </c>
      <c r="T56" s="18">
        <v>0.114794249394866</v>
      </c>
      <c r="U56" s="18">
        <v>2.66042349988656E-3</v>
      </c>
      <c r="V56" s="18">
        <v>5.3598185689001801E-3</v>
      </c>
      <c r="W56" s="18">
        <v>1854.59411083704</v>
      </c>
      <c r="X56" s="18">
        <v>41.527453067809603</v>
      </c>
      <c r="Y56" s="18">
        <v>83.663226580830795</v>
      </c>
      <c r="Z56" s="18">
        <v>2.9482265944731201</v>
      </c>
      <c r="AA56" s="18">
        <v>2.8130334945935299E-2</v>
      </c>
      <c r="AB56" s="18">
        <v>0.14047131514187799</v>
      </c>
      <c r="AC56" s="18">
        <v>2.6166683698344899</v>
      </c>
      <c r="AD56" s="18">
        <v>4.0417856363202602E-2</v>
      </c>
      <c r="AE56" s="18">
        <v>44.2448804627196</v>
      </c>
      <c r="AF56" s="18">
        <v>0.83353065527827397</v>
      </c>
      <c r="AG56" s="18">
        <v>16.516287817887601</v>
      </c>
      <c r="AH56" s="18">
        <v>0.34645429150232498</v>
      </c>
      <c r="AI56" s="18">
        <v>15.9228585982019</v>
      </c>
      <c r="AJ56" s="18">
        <v>0.69580087828230597</v>
      </c>
      <c r="AL56" s="18">
        <v>0.13328654474363</v>
      </c>
      <c r="AM56" s="18">
        <v>0.282995105032952</v>
      </c>
    </row>
    <row r="57" spans="1:39" x14ac:dyDescent="0.2">
      <c r="A57" s="18" t="s">
        <v>313</v>
      </c>
      <c r="B57" s="18">
        <v>8.3986560371863295</v>
      </c>
      <c r="C57" s="18">
        <v>0.26849125682564601</v>
      </c>
      <c r="D57" s="18">
        <v>0.46404882613501203</v>
      </c>
      <c r="E57" s="18">
        <v>14350.760677312301</v>
      </c>
      <c r="F57" s="18">
        <v>181.03258752981699</v>
      </c>
      <c r="G57" s="18">
        <v>312.88899582286501</v>
      </c>
      <c r="H57" s="18">
        <v>850.82370661947004</v>
      </c>
      <c r="I57" s="18">
        <v>24.2801543267501</v>
      </c>
      <c r="J57" s="18">
        <v>57.123558904109103</v>
      </c>
      <c r="K57" s="18">
        <v>6836.6174266301496</v>
      </c>
      <c r="L57" s="18">
        <v>28.448544308637</v>
      </c>
      <c r="M57" s="18">
        <v>66.930468179116502</v>
      </c>
      <c r="N57" s="18">
        <v>7.1691098130752398</v>
      </c>
      <c r="O57" s="18">
        <v>0.46221334462475999</v>
      </c>
      <c r="P57" s="18">
        <v>0.523638396270657</v>
      </c>
      <c r="Q57" s="18">
        <v>40979.8086773881</v>
      </c>
      <c r="R57" s="18">
        <v>1368.48451638598</v>
      </c>
      <c r="S57" s="18">
        <v>1550.34692488883</v>
      </c>
      <c r="T57" s="18">
        <v>0.74004596635187603</v>
      </c>
      <c r="U57" s="18">
        <v>8.7875059998116095E-3</v>
      </c>
      <c r="V57" s="18">
        <v>3.1257110119551901E-2</v>
      </c>
      <c r="W57" s="18">
        <v>4801.29874515966</v>
      </c>
      <c r="X57" s="18">
        <v>16.655346343891299</v>
      </c>
      <c r="Y57" s="18">
        <v>59.242974600694097</v>
      </c>
      <c r="Z57" s="18">
        <v>0.12310415159672</v>
      </c>
      <c r="AA57" s="18">
        <v>3.8609359211817201E-3</v>
      </c>
      <c r="AB57" s="18">
        <v>6.6730768189235999E-3</v>
      </c>
      <c r="AC57" s="18">
        <v>0.41228564632599302</v>
      </c>
      <c r="AD57" s="18">
        <v>3.3936273608939499E-2</v>
      </c>
      <c r="AE57" s="18">
        <v>2.2943706297054098</v>
      </c>
      <c r="AF57" s="18">
        <v>0.13234425755536</v>
      </c>
      <c r="AG57" s="18">
        <v>6.1416578281508496</v>
      </c>
      <c r="AH57" s="18">
        <v>0.41076339435692599</v>
      </c>
      <c r="AI57" s="18">
        <v>387.26042191664197</v>
      </c>
      <c r="AJ57" s="18">
        <v>12.2360010308053</v>
      </c>
      <c r="AL57" s="18">
        <v>0.91634069274136298</v>
      </c>
      <c r="AM57" s="18">
        <v>0.381253686875483</v>
      </c>
    </row>
    <row r="58" spans="1:39" x14ac:dyDescent="0.2">
      <c r="A58" s="18" t="s">
        <v>314</v>
      </c>
      <c r="B58" s="18">
        <v>0.23734866703751101</v>
      </c>
      <c r="C58" s="18">
        <v>1.81438555302452E-3</v>
      </c>
      <c r="D58" s="18">
        <v>1.0857037195301801E-2</v>
      </c>
      <c r="E58" s="18">
        <v>1372.6461515762501</v>
      </c>
      <c r="F58" s="18">
        <v>9.4432759029090203</v>
      </c>
      <c r="G58" s="18">
        <v>56.507282893910102</v>
      </c>
      <c r="H58" s="18">
        <v>2.8294934210268599</v>
      </c>
      <c r="I58" s="18">
        <v>4.04226163045424E-2</v>
      </c>
      <c r="J58" s="18">
        <v>0.17673460008361799</v>
      </c>
      <c r="K58" s="18">
        <v>1361.31398041129</v>
      </c>
      <c r="L58" s="18">
        <v>10.758458752651499</v>
      </c>
      <c r="M58" s="18">
        <v>47.037823846951198</v>
      </c>
      <c r="N58" s="18">
        <v>7.1811784519675806E-2</v>
      </c>
      <c r="O58" s="18">
        <v>1.58605501560704E-3</v>
      </c>
      <c r="P58" s="18">
        <v>2.9310271252442201E-3</v>
      </c>
      <c r="Q58" s="18">
        <v>1400.92044343829</v>
      </c>
      <c r="R58" s="18">
        <v>29.8937132637211</v>
      </c>
      <c r="S58" s="18">
        <v>55.243534170032902</v>
      </c>
      <c r="T58" s="18">
        <v>8.6420294397167793E-2</v>
      </c>
      <c r="U58" s="18">
        <v>1.3477622485154001E-3</v>
      </c>
      <c r="V58" s="18">
        <v>3.7531252693276899E-3</v>
      </c>
      <c r="W58" s="18">
        <v>1335.6378198222801</v>
      </c>
      <c r="X58" s="18">
        <v>30.651781333121399</v>
      </c>
      <c r="Y58" s="18">
        <v>85.356282384348305</v>
      </c>
      <c r="Z58" s="18">
        <v>4.2136170482345197</v>
      </c>
      <c r="AA58" s="18">
        <v>3.2045684781345E-2</v>
      </c>
      <c r="AB58" s="18">
        <v>0.191757033691106</v>
      </c>
      <c r="AC58" s="18">
        <v>2.2678834614298702</v>
      </c>
      <c r="AD58" s="18">
        <v>2.0755615630521598E-2</v>
      </c>
      <c r="AE58" s="18">
        <v>283.560386531463</v>
      </c>
      <c r="AF58" s="18">
        <v>6.6359366199901402</v>
      </c>
      <c r="AG58" s="18">
        <v>132.31531106573499</v>
      </c>
      <c r="AH58" s="18">
        <v>2.3396015494724098</v>
      </c>
      <c r="AI58" s="18">
        <v>81.842619178498197</v>
      </c>
      <c r="AJ58" s="18">
        <v>1.9157459254049001</v>
      </c>
      <c r="AL58" s="18">
        <v>0.12087308735889001</v>
      </c>
      <c r="AM58" s="18">
        <v>0.432654948097628</v>
      </c>
    </row>
    <row r="59" spans="1:39" x14ac:dyDescent="0.2">
      <c r="A59" s="18" t="s">
        <v>315</v>
      </c>
      <c r="B59" s="18">
        <v>0.325218365824057</v>
      </c>
      <c r="C59" s="18">
        <v>3.74902055911501E-3</v>
      </c>
      <c r="D59" s="18">
        <v>1.51406493137151E-2</v>
      </c>
      <c r="E59" s="18">
        <v>1814.2224026404001</v>
      </c>
      <c r="F59" s="18">
        <v>18.2319246637147</v>
      </c>
      <c r="G59" s="18">
        <v>73.630745229239295</v>
      </c>
      <c r="H59" s="18">
        <v>4.9520488236281803</v>
      </c>
      <c r="I59" s="18">
        <v>9.2252591121567404E-2</v>
      </c>
      <c r="J59" s="18">
        <v>0.31498336704645302</v>
      </c>
      <c r="K59" s="18">
        <v>1806.62814877759</v>
      </c>
      <c r="L59" s="18">
        <v>16.006306975798601</v>
      </c>
      <c r="M59" s="18">
        <v>54.651261324165503</v>
      </c>
      <c r="N59" s="18">
        <v>8.4076780146428498E-2</v>
      </c>
      <c r="O59" s="18">
        <v>2.87059190558186E-3</v>
      </c>
      <c r="P59" s="18">
        <v>4.0706068976587599E-3</v>
      </c>
      <c r="Q59" s="18">
        <v>1629.1152231507101</v>
      </c>
      <c r="R59" s="18">
        <v>53.613724891792302</v>
      </c>
      <c r="S59" s="18">
        <v>76.026271072993893</v>
      </c>
      <c r="T59" s="18">
        <v>0.11060815246552801</v>
      </c>
      <c r="U59" s="18">
        <v>1.93167684650772E-3</v>
      </c>
      <c r="V59" s="18">
        <v>4.8816944449733201E-3</v>
      </c>
      <c r="W59" s="18">
        <v>1796.13379374178</v>
      </c>
      <c r="X59" s="18">
        <v>32.026678330936001</v>
      </c>
      <c r="Y59" s="18">
        <v>80.937170200974904</v>
      </c>
      <c r="Z59" s="18">
        <v>3.0837911199492498</v>
      </c>
      <c r="AA59" s="18">
        <v>3.5793476412144601E-2</v>
      </c>
      <c r="AB59" s="18">
        <v>0.14455414835146799</v>
      </c>
      <c r="AC59" s="18">
        <v>0.95114050666856897</v>
      </c>
      <c r="AD59" s="18">
        <v>2.7250428727020201E-2</v>
      </c>
      <c r="AE59" s="18">
        <v>151.68837901688499</v>
      </c>
      <c r="AF59" s="18">
        <v>5.9304177410272496</v>
      </c>
      <c r="AG59" s="18">
        <v>168.39099897588201</v>
      </c>
      <c r="AH59" s="18">
        <v>2.5992081018512199</v>
      </c>
      <c r="AI59" s="18">
        <v>123.01255133502301</v>
      </c>
      <c r="AJ59" s="18">
        <v>4.8841920251299902</v>
      </c>
      <c r="AL59" s="18">
        <v>0.41387321643288799</v>
      </c>
      <c r="AM59" s="18">
        <v>0.23840128301991201</v>
      </c>
    </row>
    <row r="60" spans="1:39" x14ac:dyDescent="0.2">
      <c r="A60" s="18" t="s">
        <v>316</v>
      </c>
      <c r="B60" s="18">
        <v>0.200999955019902</v>
      </c>
      <c r="C60" s="18">
        <v>1.1152265343343901E-3</v>
      </c>
      <c r="D60" s="18">
        <v>9.1352489457447207E-3</v>
      </c>
      <c r="E60" s="18">
        <v>1180.5884262961099</v>
      </c>
      <c r="F60" s="18">
        <v>5.9833267203689804</v>
      </c>
      <c r="G60" s="18">
        <v>49.011727601082903</v>
      </c>
      <c r="H60" s="18">
        <v>2.1434413661314098</v>
      </c>
      <c r="I60" s="18">
        <v>1.96287152977422E-2</v>
      </c>
      <c r="J60" s="18">
        <v>0.13185140253747299</v>
      </c>
      <c r="K60" s="18">
        <v>1162.21211999919</v>
      </c>
      <c r="L60" s="18">
        <v>6.3547461504671796</v>
      </c>
      <c r="M60" s="18">
        <v>42.686552838487799</v>
      </c>
      <c r="N60" s="18">
        <v>5.9433141043298103E-2</v>
      </c>
      <c r="O60" s="18">
        <v>6.4192677374891999E-4</v>
      </c>
      <c r="P60" s="18">
        <v>2.1386963207525398E-3</v>
      </c>
      <c r="Q60" s="18">
        <v>1166.7972660160001</v>
      </c>
      <c r="R60" s="18">
        <v>12.244005141435</v>
      </c>
      <c r="S60" s="18">
        <v>40.793139993728403</v>
      </c>
      <c r="T60" s="18">
        <v>7.7348628046761403E-2</v>
      </c>
      <c r="U60" s="18">
        <v>7.0491247841824299E-4</v>
      </c>
      <c r="V60" s="18">
        <v>3.2134588902607798E-3</v>
      </c>
      <c r="W60" s="18">
        <v>1125.36290369469</v>
      </c>
      <c r="X60" s="18">
        <v>18.260317333690701</v>
      </c>
      <c r="Y60" s="18">
        <v>83.242644826774793</v>
      </c>
      <c r="Z60" s="18">
        <v>4.9669730555830798</v>
      </c>
      <c r="AA60" s="18">
        <v>2.6367962835516599E-2</v>
      </c>
      <c r="AB60" s="18">
        <v>0.21599011257237799</v>
      </c>
      <c r="AC60" s="18">
        <v>1.3256677132153301</v>
      </c>
      <c r="AD60" s="18">
        <v>9.5545206594992594E-3</v>
      </c>
      <c r="AE60" s="18">
        <v>1077.35542720643</v>
      </c>
      <c r="AF60" s="18">
        <v>27.525564573756299</v>
      </c>
      <c r="AG60" s="18">
        <v>867.63898398676804</v>
      </c>
      <c r="AH60" s="18">
        <v>18.044805387950099</v>
      </c>
      <c r="AI60" s="18">
        <v>443.93578311292902</v>
      </c>
      <c r="AJ60" s="18">
        <v>9.2604174777416404</v>
      </c>
      <c r="AL60" s="18">
        <v>0.39259928582503401</v>
      </c>
      <c r="AM60" s="18">
        <v>0.329287979203782</v>
      </c>
    </row>
    <row r="61" spans="1:39" x14ac:dyDescent="0.2">
      <c r="A61" s="18" t="s">
        <v>317</v>
      </c>
      <c r="B61" s="18">
        <v>0.26860923887730798</v>
      </c>
      <c r="C61" s="18">
        <v>1.0105119395913201E-2</v>
      </c>
      <c r="D61" s="18">
        <v>1.5770719917276702E-2</v>
      </c>
      <c r="E61" s="18">
        <v>1526.28407279051</v>
      </c>
      <c r="F61" s="18">
        <v>51.311674321260199</v>
      </c>
      <c r="G61" s="18">
        <v>80.080404050879693</v>
      </c>
      <c r="H61" s="18">
        <v>3.2475507731253899</v>
      </c>
      <c r="I61" s="18">
        <v>0.31968412784324002</v>
      </c>
      <c r="J61" s="18">
        <v>0.37573468796139198</v>
      </c>
      <c r="K61" s="18">
        <v>1357.2701995277801</v>
      </c>
      <c r="L61" s="18">
        <v>95.165322022895097</v>
      </c>
      <c r="M61" s="18">
        <v>111.85075973666</v>
      </c>
      <c r="N61" s="18">
        <v>3.19791946330314</v>
      </c>
      <c r="O61" s="18">
        <v>1.1434146176189099</v>
      </c>
      <c r="P61" s="18">
        <v>1.14867091353527</v>
      </c>
      <c r="Q61" s="18">
        <v>11454.432514886201</v>
      </c>
      <c r="R61" s="18">
        <v>3793.69293523838</v>
      </c>
      <c r="S61" s="18">
        <v>3811.1326044328798</v>
      </c>
      <c r="T61" s="18">
        <v>9.1117002737611003E-2</v>
      </c>
      <c r="U61" s="18">
        <v>9.10090557720168E-3</v>
      </c>
      <c r="V61" s="18">
        <v>9.8217381683159497E-3</v>
      </c>
      <c r="W61" s="18">
        <v>1245.75418239141</v>
      </c>
      <c r="X61" s="18">
        <v>204.91083083931201</v>
      </c>
      <c r="Y61" s="18">
        <v>221.14068883402501</v>
      </c>
      <c r="Z61" s="18">
        <v>3.8664246472130199</v>
      </c>
      <c r="AA61" s="18">
        <v>0.15100770110527201</v>
      </c>
      <c r="AB61" s="18">
        <v>0.235672639399612</v>
      </c>
      <c r="AC61" s="18">
        <v>-1881.0879492097399</v>
      </c>
      <c r="AD61" s="18">
        <v>607.86679809515499</v>
      </c>
      <c r="AE61" s="18">
        <v>4.0055359767831797</v>
      </c>
      <c r="AF61" s="18">
        <v>0.14670988383533701</v>
      </c>
      <c r="AG61" s="18">
        <v>0.44624793573447602</v>
      </c>
      <c r="AH61" s="18">
        <v>0.151686781811534</v>
      </c>
      <c r="AI61" s="18">
        <v>0.22426918283202499</v>
      </c>
      <c r="AJ61" s="18">
        <v>9.2832499578953703E-2</v>
      </c>
      <c r="AL61" s="18">
        <v>0.185278993288338</v>
      </c>
      <c r="AM61" s="18">
        <v>0.305754757104296</v>
      </c>
    </row>
    <row r="62" spans="1:39" x14ac:dyDescent="0.2">
      <c r="A62" s="18" t="s">
        <v>353</v>
      </c>
      <c r="B62" s="18">
        <v>7.2195046269342598</v>
      </c>
      <c r="C62" s="18">
        <v>3.72299899192685</v>
      </c>
      <c r="D62" s="18">
        <v>3.7371969759386299</v>
      </c>
      <c r="E62" s="18">
        <v>17789.627874388902</v>
      </c>
      <c r="F62" s="18">
        <v>474.67727836323098</v>
      </c>
      <c r="G62" s="18">
        <v>476.48750190172001</v>
      </c>
      <c r="H62" s="18">
        <v>480.64284676399899</v>
      </c>
      <c r="I62" s="18">
        <v>498.97330091732698</v>
      </c>
      <c r="J62" s="18">
        <v>499.828169006481</v>
      </c>
      <c r="K62" s="18">
        <v>7320.06658170421</v>
      </c>
      <c r="L62" s="18">
        <v>63.4442986394508</v>
      </c>
      <c r="M62" s="18">
        <v>63.552994848738898</v>
      </c>
      <c r="N62" s="18">
        <v>23.376655388799001</v>
      </c>
      <c r="O62" s="18">
        <v>75.565427475313001</v>
      </c>
      <c r="P62" s="18">
        <v>75.569686649025698</v>
      </c>
      <c r="Q62" s="18">
        <v>104357.229836431</v>
      </c>
      <c r="R62" s="18">
        <v>31497.513827998398</v>
      </c>
      <c r="S62" s="18">
        <v>31499.289155517901</v>
      </c>
      <c r="T62" s="18">
        <v>0.52986797062748803</v>
      </c>
      <c r="U62" s="18">
        <v>8.9196428386076498E-2</v>
      </c>
      <c r="V62" s="18">
        <v>9.1745767950244E-2</v>
      </c>
      <c r="W62" s="18">
        <v>4622.6400011052101</v>
      </c>
      <c r="X62" s="18">
        <v>8.1327703072852398</v>
      </c>
      <c r="Y62" s="18">
        <v>8.3652145148145696</v>
      </c>
      <c r="Z62" s="18">
        <v>7.4244500312591305E-2</v>
      </c>
      <c r="AA62" s="18">
        <v>2.62071238347375E-2</v>
      </c>
      <c r="AB62" s="18">
        <v>2.63070670058227E-2</v>
      </c>
      <c r="AC62" s="18">
        <v>-7.4063437395830096</v>
      </c>
      <c r="AD62" s="18">
        <v>0.53141841518573096</v>
      </c>
      <c r="AE62" s="18">
        <v>-4.5858792881527197E-4</v>
      </c>
      <c r="AF62" s="18">
        <v>2.6918083160656101E-5</v>
      </c>
      <c r="AG62" s="18">
        <v>6.1631547016933601E-5</v>
      </c>
      <c r="AH62" s="18">
        <v>1.49135630651576E-6</v>
      </c>
      <c r="AI62" s="18">
        <v>5.4713976173720799E-2</v>
      </c>
      <c r="AJ62" s="18">
        <v>5.2912861290338099E-2</v>
      </c>
      <c r="AL62" s="18">
        <v>0.18908554114559101</v>
      </c>
      <c r="AM62" s="18">
        <v>-7.8595798408994805E-2</v>
      </c>
    </row>
    <row r="63" spans="1:39" x14ac:dyDescent="0.2">
      <c r="A63" s="18" t="s">
        <v>354</v>
      </c>
      <c r="B63" s="18">
        <v>-31.798887045339502</v>
      </c>
      <c r="C63" s="18">
        <v>252.263630092683</v>
      </c>
      <c r="D63" s="18">
        <v>252.26770323992099</v>
      </c>
      <c r="E63" s="18">
        <v>35219.911144631202</v>
      </c>
      <c r="F63" s="18">
        <v>1983.67334876874</v>
      </c>
      <c r="G63" s="18">
        <v>1983.7053779344999</v>
      </c>
      <c r="H63" s="18">
        <v>1872.0644422740199</v>
      </c>
      <c r="I63" s="18">
        <v>16458.161701913599</v>
      </c>
      <c r="J63" s="18">
        <v>16458.555358278201</v>
      </c>
      <c r="K63" s="18">
        <v>10255.161378308499</v>
      </c>
      <c r="L63" s="18">
        <v>284.85560585970802</v>
      </c>
      <c r="M63" s="18">
        <v>284.86241921008599</v>
      </c>
      <c r="N63" s="18">
        <v>-397.91508041805298</v>
      </c>
      <c r="O63" s="18">
        <v>253.417654009687</v>
      </c>
      <c r="P63" s="18">
        <v>253.78539630737899</v>
      </c>
      <c r="Q63" s="18">
        <v>146740.86034715601</v>
      </c>
      <c r="R63" s="18">
        <v>45834.747293719898</v>
      </c>
      <c r="S63" s="18">
        <v>45901.259531589902</v>
      </c>
      <c r="T63" s="18">
        <v>0.69085791466202395</v>
      </c>
      <c r="U63" s="18">
        <v>5.0147497593633003E-2</v>
      </c>
      <c r="V63" s="18">
        <v>5.7436026831958302E-2</v>
      </c>
      <c r="W63" s="18">
        <v>4917.3766717598901</v>
      </c>
      <c r="X63" s="18">
        <v>7.3750412072930596</v>
      </c>
      <c r="Y63" s="18">
        <v>8.4469432174151908</v>
      </c>
      <c r="Z63" s="18">
        <v>1.2812002995661201E-3</v>
      </c>
      <c r="AA63" s="18">
        <v>1.1135446425157799E-3</v>
      </c>
      <c r="AB63" s="18">
        <v>1.1135626222431099E-3</v>
      </c>
      <c r="AC63" s="18">
        <v>1.93572257597649</v>
      </c>
      <c r="AD63" s="18">
        <v>0.82297231499702705</v>
      </c>
      <c r="AE63" s="18">
        <v>-6.96777765324012E-6</v>
      </c>
      <c r="AF63" s="18">
        <v>6.2434932293356998E-6</v>
      </c>
      <c r="AG63" s="18">
        <v>2.3962138904837501E-5</v>
      </c>
      <c r="AH63" s="18">
        <v>2.3271337975154401E-6</v>
      </c>
      <c r="AI63" s="18">
        <v>-8.8230504888508997E-3</v>
      </c>
      <c r="AJ63" s="18">
        <v>3.7551409358303402E-2</v>
      </c>
      <c r="AL63" s="18">
        <v>0.91296039065257495</v>
      </c>
      <c r="AM63" s="18">
        <v>-3.5852807837138602E-2</v>
      </c>
    </row>
    <row r="64" spans="1:39" x14ac:dyDescent="0.2">
      <c r="A64" s="18" t="s">
        <v>318</v>
      </c>
      <c r="B64" s="18">
        <v>7.5966815748551602</v>
      </c>
      <c r="C64" s="18">
        <v>0.32269160278817199</v>
      </c>
      <c r="D64" s="18">
        <v>0.470521791910266</v>
      </c>
      <c r="E64" s="18">
        <v>13704.5125595876</v>
      </c>
      <c r="F64" s="18">
        <v>242.397682331868</v>
      </c>
      <c r="G64" s="18">
        <v>353.44394108871501</v>
      </c>
      <c r="H64" s="18">
        <v>787.30334842590605</v>
      </c>
      <c r="I64" s="18">
        <v>30.8064711163615</v>
      </c>
      <c r="J64" s="18">
        <v>56.920103227339503</v>
      </c>
      <c r="K64" s="18">
        <v>6742.5080834165301</v>
      </c>
      <c r="L64" s="18">
        <v>41.815121742100203</v>
      </c>
      <c r="M64" s="18">
        <v>77.260424831976593</v>
      </c>
      <c r="N64" s="18">
        <v>1.0855622307827799</v>
      </c>
      <c r="O64" s="18">
        <v>2.9271646555200401E-2</v>
      </c>
      <c r="P64" s="18">
        <v>4.7382149051708802E-2</v>
      </c>
      <c r="Q64" s="18">
        <v>14785.5576917978</v>
      </c>
      <c r="R64" s="18">
        <v>281.03143178978598</v>
      </c>
      <c r="S64" s="18">
        <v>454.90687256583698</v>
      </c>
      <c r="T64" s="18">
        <v>0.75652069789712195</v>
      </c>
      <c r="U64" s="18">
        <v>1.03202220847837E-2</v>
      </c>
      <c r="V64" s="18">
        <v>3.2353792400127798E-2</v>
      </c>
      <c r="W64" s="18">
        <v>4813.9366227114697</v>
      </c>
      <c r="X64" s="18">
        <v>17.986052785971498</v>
      </c>
      <c r="Y64" s="18">
        <v>56.386094519520803</v>
      </c>
      <c r="Z64" s="18">
        <v>0.14043937425067099</v>
      </c>
      <c r="AA64" s="18">
        <v>6.1419001490515797E-3</v>
      </c>
      <c r="AB64" s="18">
        <v>8.9556029313930599E-3</v>
      </c>
      <c r="AC64" s="18">
        <v>6.8468903735801001E-2</v>
      </c>
      <c r="AD64" s="18">
        <v>3.19984508407748E-3</v>
      </c>
      <c r="AE64" s="18">
        <v>2.93515713886769</v>
      </c>
      <c r="AF64" s="18">
        <v>0.19014220392977599</v>
      </c>
      <c r="AG64" s="18">
        <v>46.792836282682302</v>
      </c>
      <c r="AH64" s="18">
        <v>2.4176259461849798</v>
      </c>
      <c r="AI64" s="18">
        <v>437.280317160143</v>
      </c>
      <c r="AJ64" s="18">
        <v>21.619484828605199</v>
      </c>
      <c r="AL64" s="18">
        <v>0.93322196226347098</v>
      </c>
      <c r="AM64" s="18">
        <v>0.19546786769893801</v>
      </c>
    </row>
    <row r="65" spans="1:39" x14ac:dyDescent="0.2">
      <c r="A65" s="18" t="s">
        <v>319</v>
      </c>
      <c r="B65" s="18">
        <v>9.2799643752545506</v>
      </c>
      <c r="C65" s="18">
        <v>0.27440065137279102</v>
      </c>
      <c r="D65" s="18">
        <v>0.50034864373460297</v>
      </c>
      <c r="E65" s="18">
        <v>14932.169228962701</v>
      </c>
      <c r="F65" s="18">
        <v>180.80423119238401</v>
      </c>
      <c r="G65" s="18">
        <v>329.68271542360299</v>
      </c>
      <c r="H65" s="18">
        <v>943.10079791419503</v>
      </c>
      <c r="I65" s="18">
        <v>27.093389662843901</v>
      </c>
      <c r="J65" s="18">
        <v>63.427331588171597</v>
      </c>
      <c r="K65" s="18">
        <v>6939.2382490622203</v>
      </c>
      <c r="L65" s="18">
        <v>30.799801829147398</v>
      </c>
      <c r="M65" s="18">
        <v>72.104275905588295</v>
      </c>
      <c r="N65" s="18">
        <v>0.43804771994992298</v>
      </c>
      <c r="O65" s="18">
        <v>9.7369312607946904E-3</v>
      </c>
      <c r="P65" s="18">
        <v>1.7914706219983499E-2</v>
      </c>
      <c r="Q65" s="18">
        <v>7342.5233912269396</v>
      </c>
      <c r="R65" s="18">
        <v>141.23912615192401</v>
      </c>
      <c r="S65" s="18">
        <v>259.86189940221402</v>
      </c>
      <c r="T65" s="18">
        <v>0.73906849686986298</v>
      </c>
      <c r="U65" s="18">
        <v>6.9941800963828696E-3</v>
      </c>
      <c r="V65" s="18">
        <v>3.07605841705334E-2</v>
      </c>
      <c r="W65" s="18">
        <v>4803.9061965248102</v>
      </c>
      <c r="X65" s="18">
        <v>13.3396738571039</v>
      </c>
      <c r="Y65" s="18">
        <v>58.668229132549797</v>
      </c>
      <c r="Z65" s="18">
        <v>0.110545405144478</v>
      </c>
      <c r="AA65" s="18">
        <v>3.5145641004085499E-3</v>
      </c>
      <c r="AB65" s="18">
        <v>6.4085393826879104E-3</v>
      </c>
      <c r="AC65" s="18">
        <v>2.1268277184657101E-2</v>
      </c>
      <c r="AD65" s="18">
        <v>4.6436470232920601E-4</v>
      </c>
      <c r="AE65" s="18">
        <v>3.1086169067443201</v>
      </c>
      <c r="AF65" s="18">
        <v>0.129488074842976</v>
      </c>
      <c r="AG65" s="18">
        <v>155.51385887219601</v>
      </c>
      <c r="AH65" s="18">
        <v>6.4526522138122999</v>
      </c>
      <c r="AI65" s="18">
        <v>604.29611596643701</v>
      </c>
      <c r="AJ65" s="18">
        <v>28.891103141610099</v>
      </c>
      <c r="AL65" s="18">
        <v>0.94091045667955797</v>
      </c>
      <c r="AM65" s="18">
        <v>0.32390699898578601</v>
      </c>
    </row>
    <row r="66" spans="1:39" x14ac:dyDescent="0.2">
      <c r="A66" s="18" t="s">
        <v>320</v>
      </c>
      <c r="B66" s="18">
        <v>6.0553053220466904</v>
      </c>
      <c r="C66" s="18">
        <v>0.19064402037154399</v>
      </c>
      <c r="D66" s="18">
        <v>0.33293933914384899</v>
      </c>
      <c r="E66" s="18">
        <v>12555.0001718203</v>
      </c>
      <c r="F66" s="18">
        <v>183.932815678661</v>
      </c>
      <c r="G66" s="18">
        <v>321.218939778829</v>
      </c>
      <c r="H66" s="18">
        <v>606.73341859776701</v>
      </c>
      <c r="I66" s="18">
        <v>19.0793430568704</v>
      </c>
      <c r="J66" s="18">
        <v>41.529003113559199</v>
      </c>
      <c r="K66" s="18">
        <v>6497.5753341678101</v>
      </c>
      <c r="L66" s="18">
        <v>33.498022595331904</v>
      </c>
      <c r="M66" s="18">
        <v>72.913384937468606</v>
      </c>
      <c r="N66" s="18">
        <v>0.674127197893156</v>
      </c>
      <c r="O66" s="18">
        <v>2.4908550575704201E-2</v>
      </c>
      <c r="P66" s="18">
        <v>3.3995753888006297E-2</v>
      </c>
      <c r="Q66" s="18">
        <v>10336.5932150722</v>
      </c>
      <c r="R66" s="18">
        <v>292.41841428890802</v>
      </c>
      <c r="S66" s="18">
        <v>399.09927373225901</v>
      </c>
      <c r="T66" s="18">
        <v>0.72905895277608901</v>
      </c>
      <c r="U66" s="18">
        <v>1.1214824450606E-2</v>
      </c>
      <c r="V66" s="18">
        <v>3.1608217898499401E-2</v>
      </c>
      <c r="W66" s="18">
        <v>4766.5114084270799</v>
      </c>
      <c r="X66" s="18">
        <v>20.376399199674498</v>
      </c>
      <c r="Y66" s="18">
        <v>57.429491538346703</v>
      </c>
      <c r="Z66" s="18">
        <v>0.16989659987835401</v>
      </c>
      <c r="AA66" s="18">
        <v>5.5919306293378901E-3</v>
      </c>
      <c r="AB66" s="18">
        <v>9.7657072308988107E-3</v>
      </c>
      <c r="AC66" s="18">
        <v>5.1771716332060298E-2</v>
      </c>
      <c r="AD66" s="18">
        <v>2.18364592419744E-3</v>
      </c>
      <c r="AE66" s="18">
        <v>2.5797566140627501</v>
      </c>
      <c r="AF66" s="18">
        <v>0.11053913428513699</v>
      </c>
      <c r="AG66" s="18">
        <v>55.199770693480303</v>
      </c>
      <c r="AH66" s="18">
        <v>2.9694364752592599</v>
      </c>
      <c r="AI66" s="18">
        <v>309.60346781962397</v>
      </c>
      <c r="AJ66" s="18">
        <v>8.0940678079199202</v>
      </c>
      <c r="AL66" s="18">
        <v>0.89643974436030505</v>
      </c>
      <c r="AM66" s="18">
        <v>0.25254132868876999</v>
      </c>
    </row>
    <row r="67" spans="1:39" x14ac:dyDescent="0.2">
      <c r="A67" s="18" t="s">
        <v>355</v>
      </c>
      <c r="B67" s="18">
        <v>6.3819772881728998</v>
      </c>
      <c r="C67" s="18">
        <v>0.226298310878116</v>
      </c>
      <c r="D67" s="18">
        <v>0.366048856430643</v>
      </c>
      <c r="E67" s="18">
        <v>12818.1308282645</v>
      </c>
      <c r="F67" s="18">
        <v>206.89494376253401</v>
      </c>
      <c r="G67" s="18">
        <v>334.66293792333198</v>
      </c>
      <c r="H67" s="18">
        <v>786.16020360943003</v>
      </c>
      <c r="I67" s="18">
        <v>29.621715873444298</v>
      </c>
      <c r="J67" s="18">
        <v>56.235020463746103</v>
      </c>
      <c r="K67" s="18">
        <v>6750.7617084901303</v>
      </c>
      <c r="L67" s="18">
        <v>41.994824819626402</v>
      </c>
      <c r="M67" s="18">
        <v>79.724612956005799</v>
      </c>
      <c r="N67" s="18">
        <v>2.3574409989144698</v>
      </c>
      <c r="O67" s="18">
        <v>6.4307332536179498E-2</v>
      </c>
      <c r="P67" s="18">
        <v>0.10336307230640999</v>
      </c>
      <c r="Q67" s="18">
        <v>24346.0371596925</v>
      </c>
      <c r="R67" s="18">
        <v>386.05957470144102</v>
      </c>
      <c r="S67" s="18">
        <v>620.52494110211899</v>
      </c>
      <c r="T67" s="18">
        <v>0.89077637891291495</v>
      </c>
      <c r="U67" s="18">
        <v>9.2558932369237994E-3</v>
      </c>
      <c r="V67" s="18">
        <v>3.7276106671132E-2</v>
      </c>
      <c r="W67" s="18">
        <v>4953.2560389354903</v>
      </c>
      <c r="X67" s="18">
        <v>12.6938626066336</v>
      </c>
      <c r="Y67" s="18">
        <v>51.121784195388003</v>
      </c>
      <c r="Z67" s="18">
        <v>0.16032134411937601</v>
      </c>
      <c r="AA67" s="18">
        <v>6.2288049852053801E-3</v>
      </c>
      <c r="AB67" s="18">
        <v>1.00754041553229E-2</v>
      </c>
      <c r="AC67" s="18">
        <v>0.16214077492609699</v>
      </c>
      <c r="AD67" s="18">
        <v>5.2376950601924297E-3</v>
      </c>
      <c r="AE67" s="18">
        <v>9.1824973076208707</v>
      </c>
      <c r="AF67" s="18">
        <v>0.52780512244514199</v>
      </c>
      <c r="AG67" s="18">
        <v>59.969209619125202</v>
      </c>
      <c r="AH67" s="18">
        <v>3.6240079437344201</v>
      </c>
      <c r="AI67" s="18">
        <v>1261.4962465704</v>
      </c>
      <c r="AJ67" s="18">
        <v>85.526672056606202</v>
      </c>
      <c r="AL67" s="18">
        <v>0.95487955141389602</v>
      </c>
      <c r="AM67" s="18">
        <v>-0.179786930208685</v>
      </c>
    </row>
    <row r="68" spans="1:39" x14ac:dyDescent="0.2">
      <c r="A68" s="18" t="s">
        <v>321</v>
      </c>
      <c r="B68" s="18">
        <v>0.53670478576250502</v>
      </c>
      <c r="C68" s="18">
        <v>1.4711516071326499E-2</v>
      </c>
      <c r="D68" s="18">
        <v>2.8309076282725901E-2</v>
      </c>
      <c r="E68" s="18">
        <v>2759.6824741149599</v>
      </c>
      <c r="F68" s="18">
        <v>60.3303102027417</v>
      </c>
      <c r="G68" s="18">
        <v>116.09240987872801</v>
      </c>
      <c r="H68" s="18">
        <v>38.764455065572697</v>
      </c>
      <c r="I68" s="18">
        <v>1.2804842970439101</v>
      </c>
      <c r="J68" s="18">
        <v>2.6815895220716199</v>
      </c>
      <c r="K68" s="18">
        <v>3722.6588187094499</v>
      </c>
      <c r="L68" s="18">
        <v>30.962763445422699</v>
      </c>
      <c r="M68" s="18">
        <v>64.842202455201303</v>
      </c>
      <c r="N68" s="18">
        <v>0.48437102264659898</v>
      </c>
      <c r="O68" s="18">
        <v>1.0460575729643E-2</v>
      </c>
      <c r="P68" s="18">
        <v>1.9641497555370799E-2</v>
      </c>
      <c r="Q68" s="18">
        <v>7966.3334897975401</v>
      </c>
      <c r="R68" s="18">
        <v>141.711757273091</v>
      </c>
      <c r="S68" s="18">
        <v>266.08775711637702</v>
      </c>
      <c r="T68" s="18">
        <v>0.52426490475209697</v>
      </c>
      <c r="U68" s="18">
        <v>1.0699222154169999E-2</v>
      </c>
      <c r="V68" s="18">
        <v>2.3791278534208302E-2</v>
      </c>
      <c r="W68" s="18">
        <v>4298.9356292625498</v>
      </c>
      <c r="X68" s="18">
        <v>29.714817869269201</v>
      </c>
      <c r="Y68" s="18">
        <v>66.075224753186404</v>
      </c>
      <c r="Z68" s="18">
        <v>1.90477366661742</v>
      </c>
      <c r="AA68" s="18">
        <v>4.7374381922020002E-2</v>
      </c>
      <c r="AB68" s="18">
        <v>9.1161576086054796E-2</v>
      </c>
      <c r="AC68" s="18">
        <v>0.60064065693000701</v>
      </c>
      <c r="AD68" s="18">
        <v>1.6562267141515801E-2</v>
      </c>
      <c r="AE68" s="18">
        <v>20.153572893921101</v>
      </c>
      <c r="AF68" s="18">
        <v>1.04918774483171</v>
      </c>
      <c r="AG68" s="18">
        <v>34.957110901534598</v>
      </c>
      <c r="AH68" s="18">
        <v>1.5341094559751201</v>
      </c>
      <c r="AI68" s="18">
        <v>149.901723426167</v>
      </c>
      <c r="AJ68" s="18">
        <v>5.0831387051050498</v>
      </c>
      <c r="AL68" s="18">
        <v>0.79068367689385899</v>
      </c>
      <c r="AM68" s="18">
        <v>8.8662820533203804E-2</v>
      </c>
    </row>
    <row r="69" spans="1:39" x14ac:dyDescent="0.2">
      <c r="A69" s="18" t="s">
        <v>322</v>
      </c>
      <c r="B69" s="18">
        <v>12.690838666956299</v>
      </c>
      <c r="C69" s="18">
        <v>0.37097830014644101</v>
      </c>
      <c r="D69" s="18">
        <v>0.68179217507088696</v>
      </c>
      <c r="E69" s="18">
        <v>16784.633053551301</v>
      </c>
      <c r="F69" s="18">
        <v>171.12183873986001</v>
      </c>
      <c r="G69" s="18">
        <v>314.49152306354398</v>
      </c>
      <c r="H69" s="18">
        <v>1270.9668675752901</v>
      </c>
      <c r="I69" s="18">
        <v>37.551839620788797</v>
      </c>
      <c r="J69" s="18">
        <v>85.9061945079944</v>
      </c>
      <c r="K69" s="18">
        <v>7242.2903351668501</v>
      </c>
      <c r="L69" s="18">
        <v>29.8200487545013</v>
      </c>
      <c r="M69" s="18">
        <v>68.218413116674398</v>
      </c>
      <c r="N69" s="18">
        <v>1.7856468663245699</v>
      </c>
      <c r="O69" s="18">
        <v>7.9287243837147595E-2</v>
      </c>
      <c r="P69" s="18">
        <v>0.100216138662506</v>
      </c>
      <c r="Q69" s="18">
        <v>20449.424850206098</v>
      </c>
      <c r="R69" s="18">
        <v>517.07026841049105</v>
      </c>
      <c r="S69" s="18">
        <v>653.55766210915897</v>
      </c>
      <c r="T69" s="18">
        <v>0.72733440551827</v>
      </c>
      <c r="U69" s="18">
        <v>8.5526421458801093E-3</v>
      </c>
      <c r="V69" s="18">
        <v>3.0696382062977999E-2</v>
      </c>
      <c r="W69" s="18">
        <v>4776.7080060830203</v>
      </c>
      <c r="X69" s="18">
        <v>15.3516923249763</v>
      </c>
      <c r="Y69" s="18">
        <v>55.098927896540403</v>
      </c>
      <c r="Z69" s="18">
        <v>8.1064647591622602E-2</v>
      </c>
      <c r="AA69" s="18">
        <v>2.2793062457097499E-3</v>
      </c>
      <c r="AB69" s="18">
        <v>4.1889597378112799E-3</v>
      </c>
      <c r="AC69" s="18">
        <v>6.5462325451164594E-2</v>
      </c>
      <c r="AD69" s="18">
        <v>4.0983234171006397E-3</v>
      </c>
      <c r="AE69" s="18">
        <v>1.8131019374298201</v>
      </c>
      <c r="AF69" s="18">
        <v>8.9786921228654504E-2</v>
      </c>
      <c r="AG69" s="18">
        <v>29.453490929867101</v>
      </c>
      <c r="AH69" s="18">
        <v>1.56512551544103</v>
      </c>
      <c r="AI69" s="18">
        <v>465.250138979317</v>
      </c>
      <c r="AJ69" s="18">
        <v>15.201388673893501</v>
      </c>
      <c r="AL69" s="18">
        <v>0.91072389777203699</v>
      </c>
      <c r="AM69" s="18">
        <v>0.110004923545769</v>
      </c>
    </row>
    <row r="70" spans="1:39" x14ac:dyDescent="0.2">
      <c r="A70" s="18" t="s">
        <v>323</v>
      </c>
      <c r="B70" s="18">
        <v>10.7124641303988</v>
      </c>
      <c r="C70" s="18">
        <v>0.38815098219119298</v>
      </c>
      <c r="D70" s="18">
        <v>0.619531586959019</v>
      </c>
      <c r="E70" s="18">
        <v>15729.483134231599</v>
      </c>
      <c r="F70" s="18">
        <v>219.80551779360701</v>
      </c>
      <c r="G70" s="18">
        <v>350.83374127324902</v>
      </c>
      <c r="H70" s="18">
        <v>1099.3384305076199</v>
      </c>
      <c r="I70" s="18">
        <v>41.455459634626102</v>
      </c>
      <c r="J70" s="18">
        <v>78.644373200875606</v>
      </c>
      <c r="K70" s="18">
        <v>7085.6136504487304</v>
      </c>
      <c r="L70" s="18">
        <v>37.781656772072502</v>
      </c>
      <c r="M70" s="18">
        <v>71.6748708497839</v>
      </c>
      <c r="N70" s="18">
        <v>0.33529022840148198</v>
      </c>
      <c r="O70" s="18">
        <v>1.4527986290335301E-2</v>
      </c>
      <c r="P70" s="18">
        <v>1.85341190976306E-2</v>
      </c>
      <c r="Q70" s="18">
        <v>5801.1888190274803</v>
      </c>
      <c r="R70" s="18">
        <v>218.02993581250001</v>
      </c>
      <c r="S70" s="18">
        <v>278.15229973653697</v>
      </c>
      <c r="T70" s="18">
        <v>0.74525133853468595</v>
      </c>
      <c r="U70" s="18">
        <v>1.08831755789916E-2</v>
      </c>
      <c r="V70" s="18">
        <v>3.2108132993597702E-2</v>
      </c>
      <c r="W70" s="18">
        <v>4801.9167314137803</v>
      </c>
      <c r="X70" s="18">
        <v>15.4541007972151</v>
      </c>
      <c r="Y70" s="18">
        <v>45.593523700131698</v>
      </c>
      <c r="Z70" s="18">
        <v>9.5768309910915103E-2</v>
      </c>
      <c r="AA70" s="18">
        <v>3.4989911569288201E-3</v>
      </c>
      <c r="AB70" s="18">
        <v>5.5847740793295696E-3</v>
      </c>
      <c r="AC70" s="18">
        <v>1.4286270993342899E-2</v>
      </c>
      <c r="AD70" s="18">
        <v>7.1799175486827495E-4</v>
      </c>
      <c r="AE70" s="18">
        <v>2.84535353786455</v>
      </c>
      <c r="AF70" s="18">
        <v>0.43892064893007599</v>
      </c>
      <c r="AG70" s="18">
        <v>190.334988137294</v>
      </c>
      <c r="AH70" s="18">
        <v>24.788501088730801</v>
      </c>
      <c r="AI70" s="18">
        <v>613.49255929048002</v>
      </c>
      <c r="AJ70" s="18">
        <v>89.458068665666602</v>
      </c>
      <c r="AL70" s="18">
        <v>0.95094356831871096</v>
      </c>
      <c r="AM70" s="18">
        <v>0.25635312704876201</v>
      </c>
    </row>
    <row r="71" spans="1:39" x14ac:dyDescent="0.2">
      <c r="A71" s="18" t="s">
        <v>324</v>
      </c>
      <c r="B71" s="18">
        <v>0.39199096615936901</v>
      </c>
      <c r="C71" s="18">
        <v>3.89040738915231E-3</v>
      </c>
      <c r="D71" s="18">
        <v>1.8095108986478502E-2</v>
      </c>
      <c r="E71" s="18">
        <v>2131.1364839733501</v>
      </c>
      <c r="F71" s="18">
        <v>18.015196138968001</v>
      </c>
      <c r="G71" s="18">
        <v>83.792493931707199</v>
      </c>
      <c r="H71" s="18">
        <v>6.8357066389429599</v>
      </c>
      <c r="I71" s="18">
        <v>0.10463198609628301</v>
      </c>
      <c r="J71" s="18">
        <v>0.42854967458679699</v>
      </c>
      <c r="K71" s="18">
        <v>2088.7325992495498</v>
      </c>
      <c r="L71" s="18">
        <v>13.9936921790796</v>
      </c>
      <c r="M71" s="18">
        <v>57.315095061790402</v>
      </c>
      <c r="N71" s="18">
        <v>0.108843095956441</v>
      </c>
      <c r="O71" s="18">
        <v>2.6989965332203099E-3</v>
      </c>
      <c r="P71" s="18">
        <v>4.6089002176030597E-3</v>
      </c>
      <c r="Q71" s="18">
        <v>2086.0879525211099</v>
      </c>
      <c r="R71" s="18">
        <v>49.163048591799097</v>
      </c>
      <c r="S71" s="18">
        <v>83.952529232195403</v>
      </c>
      <c r="T71" s="18">
        <v>0.12681075480005499</v>
      </c>
      <c r="U71" s="18">
        <v>2.1580103470801E-3</v>
      </c>
      <c r="V71" s="18">
        <v>5.5746555721848797E-3</v>
      </c>
      <c r="W71" s="18">
        <v>2042.0910329333201</v>
      </c>
      <c r="X71" s="18">
        <v>30.364841467106299</v>
      </c>
      <c r="Y71" s="18">
        <v>78.439629778490499</v>
      </c>
      <c r="Z71" s="18">
        <v>2.5536165642822901</v>
      </c>
      <c r="AA71" s="18">
        <v>2.6162726058527201E-2</v>
      </c>
      <c r="AB71" s="18">
        <v>0.121688381718704</v>
      </c>
      <c r="AC71" s="18">
        <v>1.8686496871543901</v>
      </c>
      <c r="AD71" s="18">
        <v>2.3089971853058801E-2</v>
      </c>
      <c r="AE71" s="18">
        <v>97.7584173147781</v>
      </c>
      <c r="AF71" s="18">
        <v>1.21527021784157</v>
      </c>
      <c r="AG71" s="18">
        <v>53.867585667926498</v>
      </c>
      <c r="AH71" s="18">
        <v>0.66921219927909004</v>
      </c>
      <c r="AI71" s="18">
        <v>53.974659714418003</v>
      </c>
      <c r="AJ71" s="18">
        <v>1.3894027033795699</v>
      </c>
      <c r="AL71" s="18">
        <v>0.19015088207353101</v>
      </c>
      <c r="AM71" s="18">
        <v>0.432591470733941</v>
      </c>
    </row>
    <row r="72" spans="1:39" x14ac:dyDescent="0.2">
      <c r="A72" s="18" t="s">
        <v>325</v>
      </c>
      <c r="B72" s="18">
        <v>0.25154881572117999</v>
      </c>
      <c r="C72" s="18">
        <v>2.3337920293303401E-3</v>
      </c>
      <c r="D72" s="18">
        <v>1.15771119421018E-2</v>
      </c>
      <c r="E72" s="18">
        <v>1446.0491877473301</v>
      </c>
      <c r="F72" s="18">
        <v>12.021486457589299</v>
      </c>
      <c r="G72" s="18">
        <v>59.634317317429201</v>
      </c>
      <c r="H72" s="18">
        <v>3.1541498506339001</v>
      </c>
      <c r="I72" s="18">
        <v>4.70164644658803E-2</v>
      </c>
      <c r="J72" s="18">
        <v>0.197435396849097</v>
      </c>
      <c r="K72" s="18">
        <v>1443.62359623411</v>
      </c>
      <c r="L72" s="18">
        <v>11.5614552668053</v>
      </c>
      <c r="M72" s="18">
        <v>48.5498119581341</v>
      </c>
      <c r="N72" s="18">
        <v>3.7040547953393801E-2</v>
      </c>
      <c r="O72" s="18">
        <v>1.67389519654098E-3</v>
      </c>
      <c r="P72" s="18">
        <v>2.10192433619058E-3</v>
      </c>
      <c r="Q72" s="18">
        <v>734.18357514464503</v>
      </c>
      <c r="R72" s="18">
        <v>32.496117121005703</v>
      </c>
      <c r="S72" s="18">
        <v>40.805648734454003</v>
      </c>
      <c r="T72" s="18">
        <v>9.0992872323906501E-2</v>
      </c>
      <c r="U72" s="18">
        <v>1.4983342995899601E-3</v>
      </c>
      <c r="V72" s="18">
        <v>3.9809781899557799E-3</v>
      </c>
      <c r="W72" s="18">
        <v>1433.73003624988</v>
      </c>
      <c r="X72" s="18">
        <v>31.4430427671358</v>
      </c>
      <c r="Y72" s="18">
        <v>83.542149115901694</v>
      </c>
      <c r="Z72" s="18">
        <v>3.97699103247276</v>
      </c>
      <c r="AA72" s="18">
        <v>3.57954252203984E-2</v>
      </c>
      <c r="AB72" s="18">
        <v>0.17756836923922401</v>
      </c>
      <c r="AC72" s="18">
        <v>1.10204390065998</v>
      </c>
      <c r="AD72" s="18">
        <v>3.3305448330167901E-2</v>
      </c>
      <c r="AE72" s="18">
        <v>174.48893848256199</v>
      </c>
      <c r="AF72" s="18">
        <v>5.5034585624479702</v>
      </c>
      <c r="AG72" s="18">
        <v>168.58896698336301</v>
      </c>
      <c r="AH72" s="18">
        <v>7.6622372928633</v>
      </c>
      <c r="AI72" s="18">
        <v>54.291336527594503</v>
      </c>
      <c r="AJ72" s="18">
        <v>1.6437646669992101</v>
      </c>
      <c r="AL72" s="18">
        <v>0.31543913041562999</v>
      </c>
      <c r="AM72" s="18">
        <v>0.39635194191888301</v>
      </c>
    </row>
    <row r="73" spans="1:39" x14ac:dyDescent="0.2">
      <c r="A73" s="18" t="s">
        <v>356</v>
      </c>
      <c r="B73" s="18">
        <v>21.534381522728399</v>
      </c>
      <c r="C73" s="18">
        <v>0.75903735900512903</v>
      </c>
      <c r="D73" s="18">
        <v>1.23232513206264</v>
      </c>
      <c r="E73" s="18">
        <v>19946.268726394901</v>
      </c>
      <c r="F73" s="18">
        <v>219.321474589069</v>
      </c>
      <c r="G73" s="18">
        <v>356.07649864744201</v>
      </c>
      <c r="H73" s="18">
        <v>2229.2323215484298</v>
      </c>
      <c r="I73" s="18">
        <v>81.283672901124902</v>
      </c>
      <c r="J73" s="18">
        <v>158.033528916004</v>
      </c>
      <c r="K73" s="18">
        <v>7803.13398060704</v>
      </c>
      <c r="L73" s="18">
        <v>37.964953144794698</v>
      </c>
      <c r="M73" s="18">
        <v>73.812308259013605</v>
      </c>
      <c r="N73" s="18">
        <v>0.61228155538560602</v>
      </c>
      <c r="O73" s="18">
        <v>6.12642050996603E-3</v>
      </c>
      <c r="P73" s="18">
        <v>2.18892581070044E-2</v>
      </c>
      <c r="Q73" s="18">
        <v>9649.0369414473498</v>
      </c>
      <c r="R73" s="18">
        <v>76.956355493538794</v>
      </c>
      <c r="S73" s="18">
        <v>274.959501332336</v>
      </c>
      <c r="T73" s="18">
        <v>0.75055056461650305</v>
      </c>
      <c r="U73" s="18">
        <v>5.9452432771726002E-3</v>
      </c>
      <c r="V73" s="18">
        <v>3.0996713031555899E-2</v>
      </c>
      <c r="W73" s="18">
        <v>4825.8432025979901</v>
      </c>
      <c r="X73" s="18">
        <v>10.8985319690363</v>
      </c>
      <c r="Y73" s="18">
        <v>56.821672749128503</v>
      </c>
      <c r="Z73" s="18">
        <v>4.8578381213697903E-2</v>
      </c>
      <c r="AA73" s="18">
        <v>1.7764596514286801E-3</v>
      </c>
      <c r="AB73" s="18">
        <v>2.88414772814366E-3</v>
      </c>
      <c r="AC73" s="18">
        <v>1.3706586957190301E-2</v>
      </c>
      <c r="AD73" s="18">
        <v>4.64553576366884E-4</v>
      </c>
      <c r="AE73" s="18">
        <v>2.5446513914574802</v>
      </c>
      <c r="AF73" s="18">
        <v>0.102268646664003</v>
      </c>
      <c r="AG73" s="18">
        <v>195.049659672975</v>
      </c>
      <c r="AH73" s="18">
        <v>9.6778165979177206</v>
      </c>
      <c r="AI73" s="18">
        <v>1105.16866616834</v>
      </c>
      <c r="AJ73" s="18">
        <v>49.358837415923198</v>
      </c>
      <c r="AL73" s="18">
        <v>0.97237089165742097</v>
      </c>
      <c r="AM73" s="18">
        <v>-3.1265109524840802E-2</v>
      </c>
    </row>
    <row r="74" spans="1:39" x14ac:dyDescent="0.2">
      <c r="A74" s="18" t="s">
        <v>357</v>
      </c>
      <c r="B74" s="18">
        <v>-245.79997872121999</v>
      </c>
      <c r="C74" s="18">
        <v>436.038006851928</v>
      </c>
      <c r="D74" s="18">
        <v>436.17876268872499</v>
      </c>
      <c r="E74" s="18">
        <v>27303.098640536198</v>
      </c>
      <c r="F74" s="18">
        <v>2298.9768318729298</v>
      </c>
      <c r="G74" s="18">
        <v>2299.7189561893001</v>
      </c>
      <c r="H74" s="18">
        <v>-11070.262938165501</v>
      </c>
      <c r="I74" s="18">
        <v>21943.007137433</v>
      </c>
      <c r="J74" s="18">
        <v>21953.325240562699</v>
      </c>
      <c r="K74" s="18">
        <v>9218.1291734198494</v>
      </c>
      <c r="L74" s="18">
        <v>230.57906566098899</v>
      </c>
      <c r="M74" s="18">
        <v>230.68748920403999</v>
      </c>
      <c r="N74" s="18">
        <v>-2.4721980127560599</v>
      </c>
      <c r="O74" s="18">
        <v>3.6732511453504602</v>
      </c>
      <c r="P74" s="18">
        <v>3.67423104683269</v>
      </c>
      <c r="Q74" s="18">
        <v>34623.764710109397</v>
      </c>
      <c r="R74" s="18">
        <v>2302.4919833619001</v>
      </c>
      <c r="S74" s="18">
        <v>2303.1062117982501</v>
      </c>
      <c r="T74" s="18">
        <v>-0.71332678389252901</v>
      </c>
      <c r="U74" s="18">
        <v>0.48593947633201001</v>
      </c>
      <c r="V74" s="18">
        <v>0.48679884406549001</v>
      </c>
      <c r="W74" s="18">
        <v>4636.7336874599696</v>
      </c>
      <c r="X74" s="18">
        <v>1.0472410542068999</v>
      </c>
      <c r="Y74" s="18">
        <v>1.0490930650333401</v>
      </c>
      <c r="Z74" s="18">
        <v>1.9652626549518899E-2</v>
      </c>
      <c r="AA74" s="18">
        <v>1.71956668118134E-2</v>
      </c>
      <c r="AB74" s="18">
        <v>1.7201217682226901E-2</v>
      </c>
      <c r="AC74" s="18">
        <v>4.9897163338762401E-2</v>
      </c>
      <c r="AD74" s="18">
        <v>9.9862922863215801E-3</v>
      </c>
      <c r="AE74" s="18">
        <v>-6.0511455630231498E-5</v>
      </c>
      <c r="AF74" s="18">
        <v>8.3107342854213392E-6</v>
      </c>
      <c r="AG74" s="18">
        <v>8.2244298186384193E-3</v>
      </c>
      <c r="AH74" s="18">
        <v>4.9721601856440797E-3</v>
      </c>
      <c r="AI74" s="18">
        <v>6.3218916521873794E-2</v>
      </c>
      <c r="AJ74" s="18">
        <v>6.1931598800971301E-2</v>
      </c>
      <c r="AL74" s="18">
        <v>0.81920973315930701</v>
      </c>
      <c r="AM74" s="18">
        <v>-0.104009110003688</v>
      </c>
    </row>
    <row r="76" spans="1:39" s="16" customFormat="1" x14ac:dyDescent="0.2">
      <c r="A76" s="16" t="s">
        <v>145</v>
      </c>
    </row>
    <row r="77" spans="1:39" x14ac:dyDescent="0.2">
      <c r="A77" s="18" t="s">
        <v>358</v>
      </c>
      <c r="B77" s="18">
        <v>0.233861979738584</v>
      </c>
      <c r="C77" s="18">
        <v>2.3466917868394002E-3</v>
      </c>
      <c r="D77" s="18">
        <v>1.08012483762995E-2</v>
      </c>
      <c r="E77" s="18">
        <v>1354.28288764583</v>
      </c>
      <c r="F77" s="18">
        <v>12.250431426127699</v>
      </c>
      <c r="G77" s="18">
        <v>56.3857398285108</v>
      </c>
      <c r="H77" s="18">
        <v>29.258768775708401</v>
      </c>
      <c r="I77" s="18">
        <v>0.21170343028211</v>
      </c>
      <c r="J77" s="18">
        <v>1.79212144388331</v>
      </c>
      <c r="K77" s="18">
        <v>3461.3439084925299</v>
      </c>
      <c r="L77" s="18">
        <v>7.0347223770809997</v>
      </c>
      <c r="M77" s="18">
        <v>59.550649731715602</v>
      </c>
      <c r="N77" s="18">
        <v>0.49372080339091101</v>
      </c>
      <c r="O77" s="18">
        <v>5.8178019663630998E-3</v>
      </c>
      <c r="P77" s="18">
        <v>1.7917695817667299E-2</v>
      </c>
      <c r="Q77" s="18">
        <v>8105.0151652345003</v>
      </c>
      <c r="R77" s="18">
        <v>78.239352654277596</v>
      </c>
      <c r="S77" s="18">
        <v>240.96195263017901</v>
      </c>
      <c r="T77" s="18">
        <v>0.90851453716319097</v>
      </c>
      <c r="U77" s="18">
        <v>7.5050378048337803E-3</v>
      </c>
      <c r="V77" s="18">
        <v>3.7581288596551299E-2</v>
      </c>
      <c r="W77" s="18">
        <v>4952.3505627245004</v>
      </c>
      <c r="X77" s="18">
        <v>18.425551699798401</v>
      </c>
      <c r="Y77" s="18">
        <v>92.265488061206995</v>
      </c>
      <c r="Z77" s="18">
        <v>4.2800009520075601</v>
      </c>
      <c r="AA77" s="18">
        <v>4.1640550182388401E-2</v>
      </c>
      <c r="AB77" s="18">
        <v>0.19166126867111999</v>
      </c>
      <c r="AC77" s="18">
        <v>0.91968711590250696</v>
      </c>
      <c r="AD77" s="18">
        <v>1.14456526090946E-2</v>
      </c>
      <c r="AE77" s="18">
        <v>380.56183622367098</v>
      </c>
      <c r="AF77" s="18">
        <v>12.7959315466594</v>
      </c>
      <c r="AG77" s="18">
        <v>391.291800489548</v>
      </c>
      <c r="AH77" s="18">
        <v>12.147534246548</v>
      </c>
      <c r="AI77" s="18">
        <v>1890.16264690805</v>
      </c>
      <c r="AJ77" s="18">
        <v>55.2801781462381</v>
      </c>
      <c r="AL77" s="18">
        <v>0.59597805786799296</v>
      </c>
      <c r="AM77" s="18">
        <v>0.702704944269123</v>
      </c>
    </row>
    <row r="78" spans="1:39" x14ac:dyDescent="0.2">
      <c r="A78" s="18" t="s">
        <v>359</v>
      </c>
      <c r="B78" s="18">
        <v>0.23296805353941799</v>
      </c>
      <c r="C78" s="18">
        <v>2.7283785584965299E-3</v>
      </c>
      <c r="D78" s="18">
        <v>1.0848691108709001E-2</v>
      </c>
      <c r="E78" s="18">
        <v>1349.46213123345</v>
      </c>
      <c r="F78" s="18">
        <v>14.221569617211401</v>
      </c>
      <c r="G78" s="18">
        <v>56.548390390205498</v>
      </c>
      <c r="H78" s="18">
        <v>28.9221583747387</v>
      </c>
      <c r="I78" s="18">
        <v>0.214052732293153</v>
      </c>
      <c r="J78" s="18">
        <v>1.77155517589353</v>
      </c>
      <c r="K78" s="18">
        <v>3449.9362987960799</v>
      </c>
      <c r="L78" s="18">
        <v>7.2391798905557296</v>
      </c>
      <c r="M78" s="18">
        <v>59.913304852257703</v>
      </c>
      <c r="N78" s="18">
        <v>0.49338385526745598</v>
      </c>
      <c r="O78" s="18">
        <v>5.8922139951262604E-3</v>
      </c>
      <c r="P78" s="18">
        <v>1.7930152177832899E-2</v>
      </c>
      <c r="Q78" s="18">
        <v>8100.2819465842504</v>
      </c>
      <c r="R78" s="18">
        <v>79.548389023216302</v>
      </c>
      <c r="S78" s="18">
        <v>242.06770525773399</v>
      </c>
      <c r="T78" s="18">
        <v>0.90416715783214496</v>
      </c>
      <c r="U78" s="18">
        <v>8.77771588133292E-3</v>
      </c>
      <c r="V78" s="18">
        <v>3.7683928541543399E-2</v>
      </c>
      <c r="W78" s="18">
        <v>4967.4055327001497</v>
      </c>
      <c r="X78" s="18">
        <v>10.2611769302071</v>
      </c>
      <c r="Y78" s="18">
        <v>44.052628658486299</v>
      </c>
      <c r="Z78" s="18">
        <v>4.3071682584059197</v>
      </c>
      <c r="AA78" s="18">
        <v>4.9266281170605698E-2</v>
      </c>
      <c r="AB78" s="18">
        <v>0.19589461470816999</v>
      </c>
      <c r="AC78" s="18">
        <v>0.92939205248513002</v>
      </c>
      <c r="AD78" s="18">
        <v>1.23177709050123E-2</v>
      </c>
      <c r="AE78" s="18">
        <v>380.86634514682203</v>
      </c>
      <c r="AF78" s="18">
        <v>13.6256899690295</v>
      </c>
      <c r="AG78" s="18">
        <v>388.49301227393897</v>
      </c>
      <c r="AH78" s="18">
        <v>12.7584056391955</v>
      </c>
      <c r="AI78" s="18">
        <v>1874.5565558056901</v>
      </c>
      <c r="AJ78" s="18">
        <v>57.197001184197298</v>
      </c>
      <c r="AL78" s="18">
        <v>0.54143893361055195</v>
      </c>
      <c r="AM78" s="18">
        <v>0.77622485174120803</v>
      </c>
    </row>
    <row r="79" spans="1:39" x14ac:dyDescent="0.2">
      <c r="A79" s="18" t="s">
        <v>360</v>
      </c>
      <c r="B79" s="18">
        <v>0.23293570337353101</v>
      </c>
      <c r="C79" s="18">
        <v>2.5470518449224799E-3</v>
      </c>
      <c r="D79" s="18">
        <v>1.0804305855168899E-2</v>
      </c>
      <c r="E79" s="18">
        <v>1349.3707114613701</v>
      </c>
      <c r="F79" s="18">
        <v>13.2647664371475</v>
      </c>
      <c r="G79" s="18">
        <v>56.2676389842715</v>
      </c>
      <c r="H79" s="18">
        <v>29.034951505189799</v>
      </c>
      <c r="I79" s="18">
        <v>0.18273683652145301</v>
      </c>
      <c r="J79" s="18">
        <v>1.77477212879471</v>
      </c>
      <c r="K79" s="18">
        <v>3454.0234101555102</v>
      </c>
      <c r="L79" s="18">
        <v>6.1505510651397604</v>
      </c>
      <c r="M79" s="18">
        <v>59.735228074045999</v>
      </c>
      <c r="N79" s="18">
        <v>0.491478572607634</v>
      </c>
      <c r="O79" s="18">
        <v>5.7909646082325503E-3</v>
      </c>
      <c r="P79" s="18">
        <v>1.78354985299541E-2</v>
      </c>
      <c r="Q79" s="18">
        <v>8074.7113335791</v>
      </c>
      <c r="R79" s="18">
        <v>78.131382102977099</v>
      </c>
      <c r="S79" s="18">
        <v>240.63558403722399</v>
      </c>
      <c r="T79" s="18">
        <v>0.90837079975189094</v>
      </c>
      <c r="U79" s="18">
        <v>8.1783566165199301E-3</v>
      </c>
      <c r="V79" s="18">
        <v>3.7717705598237998E-2</v>
      </c>
      <c r="W79" s="18">
        <v>4952.5758624931696</v>
      </c>
      <c r="X79" s="18">
        <v>12.252507791292199</v>
      </c>
      <c r="Y79" s="18">
        <v>56.507254865675698</v>
      </c>
      <c r="Z79" s="18">
        <v>4.3046198824804698</v>
      </c>
      <c r="AA79" s="18">
        <v>4.5477897474942103E-2</v>
      </c>
      <c r="AB79" s="18">
        <v>0.192912097548703</v>
      </c>
      <c r="AC79" s="18">
        <v>0.92659681227896595</v>
      </c>
      <c r="AD79" s="18">
        <v>1.1400191344344701E-2</v>
      </c>
      <c r="AE79" s="18">
        <v>382.38190909961202</v>
      </c>
      <c r="AF79" s="18">
        <v>13.318780494146299</v>
      </c>
      <c r="AG79" s="18">
        <v>390.99394157740699</v>
      </c>
      <c r="AH79" s="18">
        <v>12.6602751638814</v>
      </c>
      <c r="AI79" s="18">
        <v>1870.3267744242501</v>
      </c>
      <c r="AJ79" s="18">
        <v>54.398855596770098</v>
      </c>
      <c r="AL79" s="18">
        <v>0.55057296356924401</v>
      </c>
      <c r="AM79" s="18">
        <v>0.80181280886592499</v>
      </c>
    </row>
    <row r="80" spans="1:39" x14ac:dyDescent="0.2">
      <c r="A80" s="18" t="s">
        <v>361</v>
      </c>
      <c r="B80" s="18">
        <v>0.23459624620109901</v>
      </c>
      <c r="C80" s="18">
        <v>2.3597313045289501E-3</v>
      </c>
      <c r="D80" s="18">
        <v>1.0833673068485599E-2</v>
      </c>
      <c r="E80" s="18">
        <v>1358.11505708597</v>
      </c>
      <c r="F80" s="18">
        <v>12.2827767696762</v>
      </c>
      <c r="G80" s="18">
        <v>56.390991483000697</v>
      </c>
      <c r="H80" s="18">
        <v>29.537972614169</v>
      </c>
      <c r="I80" s="18">
        <v>0.20748000706852501</v>
      </c>
      <c r="J80" s="18">
        <v>1.80773997306212</v>
      </c>
      <c r="K80" s="18">
        <v>3470.7278757109402</v>
      </c>
      <c r="L80" s="18">
        <v>6.7905121333771703</v>
      </c>
      <c r="M80" s="18">
        <v>59.164641425016796</v>
      </c>
      <c r="N80" s="18">
        <v>0.50359337976468599</v>
      </c>
      <c r="O80" s="18">
        <v>5.5252080826554096E-3</v>
      </c>
      <c r="P80" s="18">
        <v>1.8146481756604899E-2</v>
      </c>
      <c r="Q80" s="18">
        <v>8238.7635606937893</v>
      </c>
      <c r="R80" s="18">
        <v>73.952841830924996</v>
      </c>
      <c r="S80" s="18">
        <v>242.88386519716499</v>
      </c>
      <c r="T80" s="18">
        <v>0.91645562694304405</v>
      </c>
      <c r="U80" s="18">
        <v>7.0360318084748998E-3</v>
      </c>
      <c r="V80" s="18">
        <v>3.7805573339053301E-2</v>
      </c>
      <c r="W80" s="18">
        <v>4958.5975089400399</v>
      </c>
      <c r="X80" s="18">
        <v>21.618975659697</v>
      </c>
      <c r="Y80" s="18">
        <v>116.161750268585</v>
      </c>
      <c r="Z80" s="18">
        <v>4.2677367102357397</v>
      </c>
      <c r="AA80" s="18">
        <v>4.1902757536827401E-2</v>
      </c>
      <c r="AB80" s="18">
        <v>0.19237816396754101</v>
      </c>
      <c r="AC80" s="18">
        <v>0.91589837391948803</v>
      </c>
      <c r="AD80" s="18">
        <v>9.9880269981309101E-3</v>
      </c>
      <c r="AE80" s="18">
        <v>378.59511438199598</v>
      </c>
      <c r="AF80" s="18">
        <v>13.1815297853879</v>
      </c>
      <c r="AG80" s="18">
        <v>409.65031496923598</v>
      </c>
      <c r="AH80" s="18">
        <v>12.848890015852</v>
      </c>
      <c r="AI80" s="18">
        <v>1863.3136982175199</v>
      </c>
      <c r="AJ80" s="18">
        <v>54.484582042355697</v>
      </c>
      <c r="AL80" s="18">
        <v>0.61911262720107196</v>
      </c>
      <c r="AM80" s="18">
        <v>0.68510784347218501</v>
      </c>
    </row>
    <row r="81" spans="1:39" x14ac:dyDescent="0.2">
      <c r="A81" s="18" t="s">
        <v>362</v>
      </c>
      <c r="B81" s="18">
        <v>0.23436244529053099</v>
      </c>
      <c r="C81" s="18">
        <v>1.7315068281199E-3</v>
      </c>
      <c r="D81" s="18">
        <v>1.07046475983067E-2</v>
      </c>
      <c r="E81" s="18">
        <v>1357.0930307111601</v>
      </c>
      <c r="F81" s="18">
        <v>9.0203638987212198</v>
      </c>
      <c r="G81" s="18">
        <v>55.7663505428647</v>
      </c>
      <c r="H81" s="18">
        <v>29.641605699734701</v>
      </c>
      <c r="I81" s="18">
        <v>0.18841494546819301</v>
      </c>
      <c r="J81" s="18">
        <v>1.81284328076679</v>
      </c>
      <c r="K81" s="18">
        <v>3474.3238649804598</v>
      </c>
      <c r="L81" s="18">
        <v>6.1466096918115296</v>
      </c>
      <c r="M81" s="18">
        <v>59.139894935657402</v>
      </c>
      <c r="N81" s="18">
        <v>0.50062312975230705</v>
      </c>
      <c r="O81" s="18">
        <v>4.04754485965657E-3</v>
      </c>
      <c r="P81" s="18">
        <v>1.7651667239298601E-2</v>
      </c>
      <c r="Q81" s="18">
        <v>8201.1021040628202</v>
      </c>
      <c r="R81" s="18">
        <v>54.230994540397099</v>
      </c>
      <c r="S81" s="18">
        <v>236.505709726596</v>
      </c>
      <c r="T81" s="18">
        <v>0.91441531209542404</v>
      </c>
      <c r="U81" s="18">
        <v>6.42779104784402E-3</v>
      </c>
      <c r="V81" s="18">
        <v>3.7615587467328501E-2</v>
      </c>
      <c r="W81" s="18">
        <v>4963.0588827367801</v>
      </c>
      <c r="X81" s="18">
        <v>22.784223565193901</v>
      </c>
      <c r="Y81" s="18">
        <v>133.33382308362101</v>
      </c>
      <c r="Z81" s="18">
        <v>4.2569368148424704</v>
      </c>
      <c r="AA81" s="18">
        <v>3.1851738466856003E-2</v>
      </c>
      <c r="AB81" s="18">
        <v>0.19691613694145499</v>
      </c>
      <c r="AC81" s="18">
        <v>0.94539973907881003</v>
      </c>
      <c r="AD81" s="18">
        <v>5.9601761228049001E-3</v>
      </c>
      <c r="AE81" s="18">
        <v>374.181590755066</v>
      </c>
      <c r="AF81" s="18">
        <v>12.3284917344325</v>
      </c>
      <c r="AG81" s="18">
        <v>388.87365932305801</v>
      </c>
      <c r="AH81" s="18">
        <v>11.9171791846427</v>
      </c>
      <c r="AI81" s="18">
        <v>1858.7416374576001</v>
      </c>
      <c r="AJ81" s="18">
        <v>51.125918093811997</v>
      </c>
      <c r="AL81" s="18">
        <v>0.50898206790255696</v>
      </c>
      <c r="AM81" s="18">
        <v>0.63337171560604</v>
      </c>
    </row>
    <row r="82" spans="1:39" x14ac:dyDescent="0.2">
      <c r="A82" s="18" t="s">
        <v>363</v>
      </c>
      <c r="B82" s="18">
        <v>0.23636549829668099</v>
      </c>
      <c r="C82" s="18">
        <v>2.4554857401303601E-3</v>
      </c>
      <c r="D82" s="18">
        <v>1.09345024867588E-2</v>
      </c>
      <c r="E82" s="18">
        <v>1367.3154407530899</v>
      </c>
      <c r="F82" s="18">
        <v>12.766320711423001</v>
      </c>
      <c r="G82" s="18">
        <v>56.849593253351699</v>
      </c>
      <c r="H82" s="18">
        <v>29.4719043085734</v>
      </c>
      <c r="I82" s="18">
        <v>0.19954142209238401</v>
      </c>
      <c r="J82" s="18">
        <v>1.8032927919011099</v>
      </c>
      <c r="K82" s="18">
        <v>3468.5919474775601</v>
      </c>
      <c r="L82" s="18">
        <v>6.5542127206369196</v>
      </c>
      <c r="M82" s="18">
        <v>59.231634373333698</v>
      </c>
      <c r="N82" s="18">
        <v>0.50972249027526495</v>
      </c>
      <c r="O82" s="18">
        <v>6.8944390162143697E-3</v>
      </c>
      <c r="P82" s="18">
        <v>1.8804589658164301E-2</v>
      </c>
      <c r="Q82" s="18">
        <v>8318.3861051370804</v>
      </c>
      <c r="R82" s="18">
        <v>91.520584031221603</v>
      </c>
      <c r="S82" s="18">
        <v>249.622489072017</v>
      </c>
      <c r="T82" s="18">
        <v>0.90464608521980905</v>
      </c>
      <c r="U82" s="18">
        <v>7.7985252626151897E-3</v>
      </c>
      <c r="V82" s="18">
        <v>3.7485165807904598E-2</v>
      </c>
      <c r="W82" s="18">
        <v>4959.6182137104997</v>
      </c>
      <c r="X82" s="18">
        <v>15.110847427680699</v>
      </c>
      <c r="Y82" s="18">
        <v>72.633299534200404</v>
      </c>
      <c r="Z82" s="18">
        <v>4.2316170703646101</v>
      </c>
      <c r="AA82" s="18">
        <v>4.1686346531638399E-2</v>
      </c>
      <c r="AB82" s="18">
        <v>0.18563311216374301</v>
      </c>
      <c r="AC82" s="18">
        <v>0.92397540238681697</v>
      </c>
      <c r="AD82" s="18">
        <v>8.84961083578731E-3</v>
      </c>
      <c r="AE82" s="18">
        <v>384.29712840657601</v>
      </c>
      <c r="AF82" s="18">
        <v>12.839265459982199</v>
      </c>
      <c r="AG82" s="18">
        <v>432.98363131470398</v>
      </c>
      <c r="AH82" s="18">
        <v>13.2634273961524</v>
      </c>
      <c r="AI82" s="18">
        <v>1948.9251574274599</v>
      </c>
      <c r="AJ82" s="18">
        <v>57.344103780189997</v>
      </c>
      <c r="AL82" s="18">
        <v>0.48650557101842801</v>
      </c>
      <c r="AM82" s="18">
        <v>0.77707715288717005</v>
      </c>
    </row>
    <row r="83" spans="1:39" x14ac:dyDescent="0.2">
      <c r="A83" s="18" t="s">
        <v>364</v>
      </c>
      <c r="B83" s="18">
        <v>0.23384022569857399</v>
      </c>
      <c r="C83" s="18">
        <v>2.0892602524532401E-3</v>
      </c>
      <c r="D83" s="18">
        <v>1.07448789672132E-2</v>
      </c>
      <c r="E83" s="18">
        <v>1354.2603721468499</v>
      </c>
      <c r="F83" s="18">
        <v>10.890468360585899</v>
      </c>
      <c r="G83" s="18">
        <v>56.0087065713128</v>
      </c>
      <c r="H83" s="18">
        <v>29.147299229450201</v>
      </c>
      <c r="I83" s="18">
        <v>0.1712117413424</v>
      </c>
      <c r="J83" s="18">
        <v>1.7802930236479999</v>
      </c>
      <c r="K83" s="18">
        <v>3457.9066622736</v>
      </c>
      <c r="L83" s="18">
        <v>5.70364101865579</v>
      </c>
      <c r="M83" s="18">
        <v>59.307569885634102</v>
      </c>
      <c r="N83" s="18">
        <v>0.49598415779108701</v>
      </c>
      <c r="O83" s="18">
        <v>4.6093287903086E-3</v>
      </c>
      <c r="P83" s="18">
        <v>1.76364557339443E-2</v>
      </c>
      <c r="Q83" s="18">
        <v>8137.7157588233904</v>
      </c>
      <c r="R83" s="18">
        <v>61.942717216156701</v>
      </c>
      <c r="S83" s="18">
        <v>237.008475620121</v>
      </c>
      <c r="T83" s="18">
        <v>0.90260502232210804</v>
      </c>
      <c r="U83" s="18">
        <v>6.0207082629050298E-3</v>
      </c>
      <c r="V83" s="18">
        <v>3.7072122730726097E-2</v>
      </c>
      <c r="W83" s="18">
        <v>4953.9337777598803</v>
      </c>
      <c r="X83" s="18">
        <v>35.657435722630801</v>
      </c>
      <c r="Y83" s="18">
        <v>219.55836018776299</v>
      </c>
      <c r="Z83" s="18">
        <v>4.2641015950746697</v>
      </c>
      <c r="AA83" s="18">
        <v>3.86503681326908E-2</v>
      </c>
      <c r="AB83" s="18">
        <v>0.19877539293458299</v>
      </c>
      <c r="AC83" s="18">
        <v>0.90734282095800201</v>
      </c>
      <c r="AD83" s="18">
        <v>6.9755776223336197E-3</v>
      </c>
      <c r="AE83" s="18">
        <v>380.10084737026801</v>
      </c>
      <c r="AF83" s="18">
        <v>12.883811727526099</v>
      </c>
      <c r="AG83" s="18">
        <v>437.29450608250801</v>
      </c>
      <c r="AH83" s="18">
        <v>13.3681487177754</v>
      </c>
      <c r="AI83" s="18">
        <v>1901.9273277381899</v>
      </c>
      <c r="AJ83" s="18">
        <v>51.620174081197398</v>
      </c>
      <c r="AL83" s="18">
        <v>0.58721355574659495</v>
      </c>
      <c r="AM83" s="18">
        <v>0.77890734813803597</v>
      </c>
    </row>
    <row r="84" spans="1:39" x14ac:dyDescent="0.2">
      <c r="A84" s="18" t="s">
        <v>365</v>
      </c>
      <c r="B84" s="18">
        <v>0.234389134821228</v>
      </c>
      <c r="C84" s="18">
        <v>1.6928355575686199E-3</v>
      </c>
      <c r="D84" s="18">
        <v>1.0699193963480701E-2</v>
      </c>
      <c r="E84" s="18">
        <v>1357.24086103778</v>
      </c>
      <c r="F84" s="18">
        <v>8.8238951373551</v>
      </c>
      <c r="G84" s="18">
        <v>55.769484026891099</v>
      </c>
      <c r="H84" s="18">
        <v>29.261408069372902</v>
      </c>
      <c r="I84" s="18">
        <v>0.18741935604787699</v>
      </c>
      <c r="J84" s="18">
        <v>1.78833946663623</v>
      </c>
      <c r="K84" s="18">
        <v>3461.6244934042002</v>
      </c>
      <c r="L84" s="18">
        <v>6.2387972187454004</v>
      </c>
      <c r="M84" s="18">
        <v>59.5300694970515</v>
      </c>
      <c r="N84" s="18">
        <v>0.49612562876191402</v>
      </c>
      <c r="O84" s="18">
        <v>4.1873857544317203E-3</v>
      </c>
      <c r="P84" s="18">
        <v>1.75348167771242E-2</v>
      </c>
      <c r="Q84" s="18">
        <v>8140.2086526725197</v>
      </c>
      <c r="R84" s="18">
        <v>56.300526574964998</v>
      </c>
      <c r="S84" s="18">
        <v>235.76032298977901</v>
      </c>
      <c r="T84" s="18">
        <v>0.90297983099448198</v>
      </c>
      <c r="U84" s="18">
        <v>6.5837229775721796E-3</v>
      </c>
      <c r="V84" s="18">
        <v>3.7196114164901699E-2</v>
      </c>
      <c r="W84" s="18">
        <v>4941.5076358697997</v>
      </c>
      <c r="X84" s="18">
        <v>24.194802450649199</v>
      </c>
      <c r="Y84" s="18">
        <v>136.69357553732601</v>
      </c>
      <c r="Z84" s="18">
        <v>4.2696169514331404</v>
      </c>
      <c r="AA84" s="18">
        <v>3.04178225664876E-2</v>
      </c>
      <c r="AB84" s="18">
        <v>0.19224914205666899</v>
      </c>
      <c r="AC84" s="18">
        <v>0.94410430899526299</v>
      </c>
      <c r="AD84" s="18">
        <v>6.7274150997762598E-3</v>
      </c>
      <c r="AE84" s="18">
        <v>377.80387862707602</v>
      </c>
      <c r="AF84" s="18">
        <v>12.961481135663201</v>
      </c>
      <c r="AG84" s="18">
        <v>396.77961184376102</v>
      </c>
      <c r="AH84" s="18">
        <v>12.6073468899777</v>
      </c>
      <c r="AI84" s="18">
        <v>1887.4563734401399</v>
      </c>
      <c r="AJ84" s="18">
        <v>53.243098424846501</v>
      </c>
      <c r="AL84" s="18">
        <v>0.751639066159279</v>
      </c>
      <c r="AM84" s="18">
        <v>0.66569977277277304</v>
      </c>
    </row>
    <row r="85" spans="1:39" x14ac:dyDescent="0.2">
      <c r="A85" s="18" t="s">
        <v>366</v>
      </c>
      <c r="B85" s="18">
        <v>0.233733504358485</v>
      </c>
      <c r="C85" s="18">
        <v>2.6203048131642299E-3</v>
      </c>
      <c r="D85" s="18">
        <v>1.08567534085653E-2</v>
      </c>
      <c r="E85" s="18">
        <v>1353.5059512718001</v>
      </c>
      <c r="F85" s="18">
        <v>13.692969906611401</v>
      </c>
      <c r="G85" s="18">
        <v>56.734314633977299</v>
      </c>
      <c r="H85" s="18">
        <v>29.106845302172299</v>
      </c>
      <c r="I85" s="18">
        <v>0.234941596161967</v>
      </c>
      <c r="J85" s="18">
        <v>1.78490170013705</v>
      </c>
      <c r="K85" s="18">
        <v>3456.0187259127201</v>
      </c>
      <c r="L85" s="18">
        <v>7.82489395387491</v>
      </c>
      <c r="M85" s="18">
        <v>59.447397778105199</v>
      </c>
      <c r="N85" s="18">
        <v>0.50767222853101501</v>
      </c>
      <c r="O85" s="18">
        <v>6.2208266439686202E-3</v>
      </c>
      <c r="P85" s="18">
        <v>1.8501958151776899E-2</v>
      </c>
      <c r="Q85" s="18">
        <v>8292.1665610806303</v>
      </c>
      <c r="R85" s="18">
        <v>83.6531377685384</v>
      </c>
      <c r="S85" s="18">
        <v>248.80083352892299</v>
      </c>
      <c r="T85" s="18">
        <v>0.90859174768572204</v>
      </c>
      <c r="U85" s="18">
        <v>8.7145345032451898E-3</v>
      </c>
      <c r="V85" s="18">
        <v>3.78477384701967E-2</v>
      </c>
      <c r="W85" s="18">
        <v>4955.9733176914797</v>
      </c>
      <c r="X85" s="18">
        <v>14.9759713324527</v>
      </c>
      <c r="Y85" s="18">
        <v>65.041528737623196</v>
      </c>
      <c r="Z85" s="18">
        <v>4.2936971973826497</v>
      </c>
      <c r="AA85" s="18">
        <v>4.8578162321736902E-2</v>
      </c>
      <c r="AB85" s="18">
        <v>0.20127472449721401</v>
      </c>
      <c r="AC85" s="18">
        <v>0.93278678703694595</v>
      </c>
      <c r="AD85" s="18">
        <v>1.2595542929672399E-2</v>
      </c>
      <c r="AE85" s="18">
        <v>388.89655423808802</v>
      </c>
      <c r="AF85" s="18">
        <v>14.5490913051337</v>
      </c>
      <c r="AG85" s="18">
        <v>414.55540530546102</v>
      </c>
      <c r="AH85" s="18">
        <v>13.7332310965866</v>
      </c>
      <c r="AI85" s="18">
        <v>1914.6685852579999</v>
      </c>
      <c r="AJ85" s="18">
        <v>58.783952232123497</v>
      </c>
      <c r="AL85" s="18">
        <v>0.68643082767843899</v>
      </c>
      <c r="AM85" s="18">
        <v>0.66314973912437303</v>
      </c>
    </row>
    <row r="86" spans="1:39" x14ac:dyDescent="0.2">
      <c r="A86" s="18" t="s">
        <v>367</v>
      </c>
      <c r="B86" s="18">
        <v>0.235619423871785</v>
      </c>
      <c r="C86" s="18">
        <v>3.0264812671283699E-3</v>
      </c>
      <c r="D86" s="18">
        <v>1.1043745903151001E-2</v>
      </c>
      <c r="E86" s="18">
        <v>1363.17723368573</v>
      </c>
      <c r="F86" s="18">
        <v>15.7952686724408</v>
      </c>
      <c r="G86" s="18">
        <v>57.637539536450298</v>
      </c>
      <c r="H86" s="18">
        <v>29.519334413993601</v>
      </c>
      <c r="I86" s="18">
        <v>0.249847765042821</v>
      </c>
      <c r="J86" s="18">
        <v>1.8119423850065599</v>
      </c>
      <c r="K86" s="18">
        <v>3469.7061483535399</v>
      </c>
      <c r="L86" s="18">
        <v>8.2999727257488498</v>
      </c>
      <c r="M86" s="18">
        <v>60.1929433853661</v>
      </c>
      <c r="N86" s="18">
        <v>0.51748850878855301</v>
      </c>
      <c r="O86" s="18">
        <v>6.6304492627554902E-3</v>
      </c>
      <c r="P86" s="18">
        <v>1.8958952771170198E-2</v>
      </c>
      <c r="Q86" s="18">
        <v>8422.5891488121306</v>
      </c>
      <c r="R86" s="18">
        <v>88.445138837528006</v>
      </c>
      <c r="S86" s="18">
        <v>252.897977740263</v>
      </c>
      <c r="T86" s="18">
        <v>0.91394688279216896</v>
      </c>
      <c r="U86" s="18">
        <v>9.8570119636154207E-3</v>
      </c>
      <c r="V86" s="18">
        <v>3.8334045902863698E-2</v>
      </c>
      <c r="W86" s="18">
        <v>4956.1407046186096</v>
      </c>
      <c r="X86" s="18">
        <v>26.8465487121987</v>
      </c>
      <c r="Y86" s="18">
        <v>104.40657214028801</v>
      </c>
      <c r="Z86" s="18">
        <v>4.2593510874539904</v>
      </c>
      <c r="AA86" s="18">
        <v>5.5457728417672998E-2</v>
      </c>
      <c r="AB86" s="18">
        <v>0.202367372189903</v>
      </c>
      <c r="AC86" s="18">
        <v>0.97507610936468403</v>
      </c>
      <c r="AD86" s="18">
        <v>1.35065984325973E-2</v>
      </c>
      <c r="AE86" s="18">
        <v>386.78449045340801</v>
      </c>
      <c r="AF86" s="18">
        <v>14.132370669346299</v>
      </c>
      <c r="AG86" s="18">
        <v>397.23353860904598</v>
      </c>
      <c r="AH86" s="18">
        <v>13.483065158375499</v>
      </c>
      <c r="AI86" s="18">
        <v>1937.1597015817799</v>
      </c>
      <c r="AJ86" s="18">
        <v>60.2405724490038</v>
      </c>
      <c r="AL86" s="18">
        <v>0.65322765769881896</v>
      </c>
      <c r="AM86" s="18">
        <v>0.77857707475611904</v>
      </c>
    </row>
    <row r="87" spans="1:39" x14ac:dyDescent="0.2">
      <c r="A87" s="18" t="s">
        <v>368</v>
      </c>
      <c r="B87" s="18">
        <v>0.23508048914979501</v>
      </c>
      <c r="C87" s="18">
        <v>3.02633131080326E-3</v>
      </c>
      <c r="D87" s="18">
        <v>1.1021019722681401E-2</v>
      </c>
      <c r="E87" s="18">
        <v>1360.3659159236799</v>
      </c>
      <c r="F87" s="18">
        <v>15.7754834248904</v>
      </c>
      <c r="G87" s="18">
        <v>57.449729096052998</v>
      </c>
      <c r="H87" s="18">
        <v>29.4763948034959</v>
      </c>
      <c r="I87" s="18">
        <v>0.25480422736894598</v>
      </c>
      <c r="J87" s="18">
        <v>1.8097666699018</v>
      </c>
      <c r="K87" s="18">
        <v>3468.21957949235</v>
      </c>
      <c r="L87" s="18">
        <v>8.4947929293422906</v>
      </c>
      <c r="M87" s="18">
        <v>60.334921716117698</v>
      </c>
      <c r="N87" s="18">
        <v>0.51772737770916999</v>
      </c>
      <c r="O87" s="18">
        <v>6.0100635473575399E-3</v>
      </c>
      <c r="P87" s="18">
        <v>1.8758668571243101E-2</v>
      </c>
      <c r="Q87" s="18">
        <v>8437.2404395146295</v>
      </c>
      <c r="R87" s="18">
        <v>82.501821748617303</v>
      </c>
      <c r="S87" s="18">
        <v>257.50548534325202</v>
      </c>
      <c r="T87" s="18">
        <v>0.90826587011965298</v>
      </c>
      <c r="U87" s="18">
        <v>1.04562964334601E-2</v>
      </c>
      <c r="V87" s="18">
        <v>3.8273005389683999E-2</v>
      </c>
      <c r="W87" s="18">
        <v>4958.0707943165899</v>
      </c>
      <c r="X87" s="18">
        <v>11.2492777466967</v>
      </c>
      <c r="Y87" s="18">
        <v>41.175541509289801</v>
      </c>
      <c r="Z87" s="18">
        <v>4.2537680189765403</v>
      </c>
      <c r="AA87" s="18">
        <v>5.6058882954488902E-2</v>
      </c>
      <c r="AB87" s="18">
        <v>0.20415017102305399</v>
      </c>
      <c r="AC87" s="18">
        <v>0.94016408271752405</v>
      </c>
      <c r="AD87" s="18">
        <v>1.4126772946731401E-2</v>
      </c>
      <c r="AE87" s="18">
        <v>382.09162461448</v>
      </c>
      <c r="AF87" s="18">
        <v>14.4847480728746</v>
      </c>
      <c r="AG87" s="18">
        <v>403.66735994180902</v>
      </c>
      <c r="AH87" s="18">
        <v>13.7673923421246</v>
      </c>
      <c r="AI87" s="18">
        <v>1921.0641793046</v>
      </c>
      <c r="AJ87" s="18">
        <v>58.395614328964498</v>
      </c>
      <c r="AL87" s="18">
        <v>0.51794145329269003</v>
      </c>
      <c r="AM87" s="18">
        <v>0.73870909936544704</v>
      </c>
    </row>
    <row r="88" spans="1:39" x14ac:dyDescent="0.2">
      <c r="A88" s="18" t="s">
        <v>369</v>
      </c>
      <c r="B88" s="18">
        <v>0.235981107976349</v>
      </c>
      <c r="C88" s="18">
        <v>2.9218398468593399E-3</v>
      </c>
      <c r="D88" s="18">
        <v>1.10319328033623E-2</v>
      </c>
      <c r="E88" s="18">
        <v>1365.11353779552</v>
      </c>
      <c r="F88" s="18">
        <v>15.222967473061299</v>
      </c>
      <c r="G88" s="18">
        <v>57.477056591961301</v>
      </c>
      <c r="H88" s="18">
        <v>29.049845314487801</v>
      </c>
      <c r="I88" s="18">
        <v>0.26206697391704598</v>
      </c>
      <c r="J88" s="18">
        <v>1.7854518955130301</v>
      </c>
      <c r="K88" s="18">
        <v>3453.82101783194</v>
      </c>
      <c r="L88" s="18">
        <v>8.7321117452845591</v>
      </c>
      <c r="M88" s="18">
        <v>59.491530864873397</v>
      </c>
      <c r="N88" s="18">
        <v>0.51499976679362003</v>
      </c>
      <c r="O88" s="18">
        <v>6.4055096080598596E-3</v>
      </c>
      <c r="P88" s="18">
        <v>1.8800746312944799E-2</v>
      </c>
      <c r="Q88" s="18">
        <v>8389.8846927468603</v>
      </c>
      <c r="R88" s="18">
        <v>85.363842482718297</v>
      </c>
      <c r="S88" s="18">
        <v>250.55054867084499</v>
      </c>
      <c r="T88" s="18">
        <v>0.88939853158633797</v>
      </c>
      <c r="U88" s="18">
        <v>9.6568498433049193E-3</v>
      </c>
      <c r="V88" s="18">
        <v>3.7319407053442999E-2</v>
      </c>
      <c r="W88" s="18">
        <v>4952.3392128348596</v>
      </c>
      <c r="X88" s="18">
        <v>12.855054838243801</v>
      </c>
      <c r="Y88" s="18">
        <v>49.679039437002103</v>
      </c>
      <c r="Z88" s="18">
        <v>4.2412212118246702</v>
      </c>
      <c r="AA88" s="18">
        <v>5.2477291865303199E-2</v>
      </c>
      <c r="AB88" s="18">
        <v>0.19813747087566699</v>
      </c>
      <c r="AC88" s="18">
        <v>0.94794014876774702</v>
      </c>
      <c r="AD88" s="18">
        <v>1.1839379160915001E-2</v>
      </c>
      <c r="AE88" s="18">
        <v>380.35466598358897</v>
      </c>
      <c r="AF88" s="18">
        <v>13.7593561125835</v>
      </c>
      <c r="AG88" s="18">
        <v>406.15853028779401</v>
      </c>
      <c r="AH88" s="18">
        <v>13.442253981434</v>
      </c>
      <c r="AI88" s="18">
        <v>1910.4202730119</v>
      </c>
      <c r="AJ88" s="18">
        <v>54.962980965650502</v>
      </c>
      <c r="AL88" s="18">
        <v>0.60852256606968502</v>
      </c>
      <c r="AM88" s="18">
        <v>0.73210138059002405</v>
      </c>
    </row>
    <row r="89" spans="1:39" x14ac:dyDescent="0.2">
      <c r="A89" s="18" t="s">
        <v>370</v>
      </c>
      <c r="B89" s="18">
        <v>0.23551214457556099</v>
      </c>
      <c r="C89" s="18">
        <v>2.6619877535654399E-3</v>
      </c>
      <c r="D89" s="18">
        <v>1.09456254264886E-2</v>
      </c>
      <c r="E89" s="18">
        <v>1362.7781143965501</v>
      </c>
      <c r="F89" s="18">
        <v>13.878040764210899</v>
      </c>
      <c r="G89" s="18">
        <v>57.064062618294798</v>
      </c>
      <c r="H89" s="18">
        <v>29.754806637584501</v>
      </c>
      <c r="I89" s="18">
        <v>0.24378106990446199</v>
      </c>
      <c r="J89" s="18">
        <v>1.8251960734447901</v>
      </c>
      <c r="K89" s="18">
        <v>3477.5932374394001</v>
      </c>
      <c r="L89" s="18">
        <v>8.0091963668493094</v>
      </c>
      <c r="M89" s="18">
        <v>59.965089848652198</v>
      </c>
      <c r="N89" s="18">
        <v>0.50957673781951096</v>
      </c>
      <c r="O89" s="18">
        <v>6.3731611624577699E-3</v>
      </c>
      <c r="P89" s="18">
        <v>1.8614473222056199E-2</v>
      </c>
      <c r="Q89" s="18">
        <v>8317.4188494786795</v>
      </c>
      <c r="R89" s="18">
        <v>85.287396907354903</v>
      </c>
      <c r="S89" s="18">
        <v>249.10400434603099</v>
      </c>
      <c r="T89" s="18">
        <v>0.91468801849412795</v>
      </c>
      <c r="U89" s="18">
        <v>9.4701537255788594E-3</v>
      </c>
      <c r="V89" s="18">
        <v>3.8266822924807799E-2</v>
      </c>
      <c r="W89" s="18">
        <v>4963.47391511162</v>
      </c>
      <c r="X89" s="18">
        <v>15.0286695304194</v>
      </c>
      <c r="Y89" s="18">
        <v>60.727571313089598</v>
      </c>
      <c r="Z89" s="18">
        <v>4.2419644715065496</v>
      </c>
      <c r="AA89" s="18">
        <v>4.6504284383742801E-2</v>
      </c>
      <c r="AB89" s="18">
        <v>0.19121743776228001</v>
      </c>
      <c r="AC89" s="18">
        <v>0.94809642855059595</v>
      </c>
      <c r="AD89" s="18">
        <v>1.1749116506122601E-2</v>
      </c>
      <c r="AE89" s="18">
        <v>383.54324761621302</v>
      </c>
      <c r="AF89" s="18">
        <v>13.8679799130981</v>
      </c>
      <c r="AG89" s="18">
        <v>394.27025973885702</v>
      </c>
      <c r="AH89" s="18">
        <v>12.9613902626318</v>
      </c>
      <c r="AI89" s="18">
        <v>1915.6578111644601</v>
      </c>
      <c r="AJ89" s="18">
        <v>56.587607423400399</v>
      </c>
      <c r="AL89" s="18">
        <v>0.61473820603874296</v>
      </c>
      <c r="AM89" s="18">
        <v>0.706612556948648</v>
      </c>
    </row>
    <row r="90" spans="1:39" x14ac:dyDescent="0.2">
      <c r="A90" s="18" t="s">
        <v>371</v>
      </c>
      <c r="B90" s="18">
        <v>0.23588091950154499</v>
      </c>
      <c r="C90" s="18">
        <v>3.0405013941108699E-3</v>
      </c>
      <c r="D90" s="18">
        <v>1.10591111898174E-2</v>
      </c>
      <c r="E90" s="18">
        <v>1364.53987395645</v>
      </c>
      <c r="F90" s="18">
        <v>15.866848534352901</v>
      </c>
      <c r="G90" s="18">
        <v>57.711942679346699</v>
      </c>
      <c r="H90" s="18">
        <v>29.200216770247501</v>
      </c>
      <c r="I90" s="18">
        <v>0.24294408343479101</v>
      </c>
      <c r="J90" s="18">
        <v>1.7910201160057899</v>
      </c>
      <c r="K90" s="18">
        <v>3459.09693935942</v>
      </c>
      <c r="L90" s="18">
        <v>8.0895800545538101</v>
      </c>
      <c r="M90" s="18">
        <v>59.637593980073099</v>
      </c>
      <c r="N90" s="18">
        <v>0.51266408478535597</v>
      </c>
      <c r="O90" s="18">
        <v>5.9080307304506799E-3</v>
      </c>
      <c r="P90" s="18">
        <v>1.8562469900148999E-2</v>
      </c>
      <c r="Q90" s="18">
        <v>8369.7005557024404</v>
      </c>
      <c r="R90" s="18">
        <v>81.283913385294497</v>
      </c>
      <c r="S90" s="18">
        <v>255.38631473329301</v>
      </c>
      <c r="T90" s="18">
        <v>0.89864322158771204</v>
      </c>
      <c r="U90" s="18">
        <v>1.02148155414617E-2</v>
      </c>
      <c r="V90" s="18">
        <v>3.7823707358265603E-2</v>
      </c>
      <c r="W90" s="18">
        <v>4938.9115965466299</v>
      </c>
      <c r="X90" s="18">
        <v>18.1168251195175</v>
      </c>
      <c r="Y90" s="18">
        <v>67.083491503111901</v>
      </c>
      <c r="Z90" s="18">
        <v>4.2502560533001903</v>
      </c>
      <c r="AA90" s="18">
        <v>5.56971473196059E-2</v>
      </c>
      <c r="AB90" s="18">
        <v>0.20258531910434699</v>
      </c>
      <c r="AC90" s="18">
        <v>0.93533737769315595</v>
      </c>
      <c r="AD90" s="18">
        <v>1.32097602934275E-2</v>
      </c>
      <c r="AE90" s="18">
        <v>384.94705484076201</v>
      </c>
      <c r="AF90" s="18">
        <v>14.252524447658001</v>
      </c>
      <c r="AG90" s="18">
        <v>411.116513340236</v>
      </c>
      <c r="AH90" s="18">
        <v>13.5475292684867</v>
      </c>
      <c r="AI90" s="18">
        <v>1951.51615900498</v>
      </c>
      <c r="AJ90" s="18">
        <v>61.7105777235207</v>
      </c>
      <c r="AL90" s="18">
        <v>0.56265127736759302</v>
      </c>
      <c r="AM90" s="18">
        <v>0.79416473303407098</v>
      </c>
    </row>
    <row r="91" spans="1:39" x14ac:dyDescent="0.2">
      <c r="A91" s="18" t="s">
        <v>372</v>
      </c>
      <c r="B91" s="18">
        <v>0.234908318909268</v>
      </c>
      <c r="C91" s="18">
        <v>3.2947989168075199E-3</v>
      </c>
      <c r="D91" s="18">
        <v>1.10901905087338E-2</v>
      </c>
      <c r="E91" s="18">
        <v>1359.3314809814599</v>
      </c>
      <c r="F91" s="18">
        <v>17.2523198247648</v>
      </c>
      <c r="G91" s="18">
        <v>58.070771056230299</v>
      </c>
      <c r="H91" s="18">
        <v>30.226015568088101</v>
      </c>
      <c r="I91" s="18">
        <v>0.258134902908775</v>
      </c>
      <c r="J91" s="18">
        <v>1.8555558839461701</v>
      </c>
      <c r="K91" s="18">
        <v>3492.9302721846302</v>
      </c>
      <c r="L91" s="18">
        <v>8.3560458857503708</v>
      </c>
      <c r="M91" s="18">
        <v>60.065918770030898</v>
      </c>
      <c r="N91" s="18">
        <v>0.50690129278333096</v>
      </c>
      <c r="O91" s="18">
        <v>6.9984871276817396E-3</v>
      </c>
      <c r="P91" s="18">
        <v>1.8753113717550399E-2</v>
      </c>
      <c r="Q91" s="18">
        <v>8280.1436340146302</v>
      </c>
      <c r="R91" s="18">
        <v>94.176919328562704</v>
      </c>
      <c r="S91" s="18">
        <v>252.35603717144099</v>
      </c>
      <c r="T91" s="18">
        <v>0.936950102303719</v>
      </c>
      <c r="U91" s="18">
        <v>1.21578162246446E-2</v>
      </c>
      <c r="V91" s="18">
        <v>3.9878315098254201E-2</v>
      </c>
      <c r="W91" s="18">
        <v>4960.8819047425404</v>
      </c>
      <c r="X91" s="18">
        <v>13.9861949847937</v>
      </c>
      <c r="Y91" s="18">
        <v>45.875499376166402</v>
      </c>
      <c r="Z91" s="18">
        <v>4.2637825870669497</v>
      </c>
      <c r="AA91" s="18">
        <v>6.0475038130771298E-2</v>
      </c>
      <c r="AB91" s="18">
        <v>0.20355709432581801</v>
      </c>
      <c r="AC91" s="18">
        <v>0.94218117309615002</v>
      </c>
      <c r="AD91" s="18">
        <v>1.4193906958304499E-2</v>
      </c>
      <c r="AE91" s="18">
        <v>385.458526786954</v>
      </c>
      <c r="AF91" s="18">
        <v>15.0741625357189</v>
      </c>
      <c r="AG91" s="18">
        <v>399.186955855505</v>
      </c>
      <c r="AH91" s="18">
        <v>14.5698338546485</v>
      </c>
      <c r="AI91" s="18">
        <v>1933.4261476214899</v>
      </c>
      <c r="AJ91" s="18">
        <v>63.1609746745102</v>
      </c>
      <c r="AL91" s="18">
        <v>0.50747384657783301</v>
      </c>
      <c r="AM91" s="18">
        <v>0.80083162358125204</v>
      </c>
    </row>
    <row r="92" spans="1:39" x14ac:dyDescent="0.2">
      <c r="A92" s="18" t="s">
        <v>373</v>
      </c>
      <c r="B92" s="18">
        <v>0.23763905380866199</v>
      </c>
      <c r="C92" s="18">
        <v>2.96113800315074E-3</v>
      </c>
      <c r="D92" s="18">
        <v>1.1114121668734401E-2</v>
      </c>
      <c r="E92" s="18">
        <v>1373.7399783757401</v>
      </c>
      <c r="F92" s="18">
        <v>15.390769230302601</v>
      </c>
      <c r="G92" s="18">
        <v>57.766602441017497</v>
      </c>
      <c r="H92" s="18">
        <v>29.1601601570353</v>
      </c>
      <c r="I92" s="18">
        <v>0.23532094178993199</v>
      </c>
      <c r="J92" s="18">
        <v>1.7881844829453699</v>
      </c>
      <c r="K92" s="18">
        <v>3458.86688798761</v>
      </c>
      <c r="L92" s="18">
        <v>8.1494711189261793</v>
      </c>
      <c r="M92" s="18">
        <v>61.927160788282698</v>
      </c>
      <c r="N92" s="18">
        <v>0.50455419275821001</v>
      </c>
      <c r="O92" s="18">
        <v>6.6867326377007498E-3</v>
      </c>
      <c r="P92" s="18">
        <v>1.8563863633135901E-2</v>
      </c>
      <c r="Q92" s="18">
        <v>8249.3820528905799</v>
      </c>
      <c r="R92" s="18">
        <v>89.463383736012204</v>
      </c>
      <c r="S92" s="18">
        <v>248.370339569208</v>
      </c>
      <c r="T92" s="18">
        <v>0.89277055710825304</v>
      </c>
      <c r="U92" s="18">
        <v>8.9733509500613592E-3</v>
      </c>
      <c r="V92" s="18">
        <v>3.72871261266121E-2</v>
      </c>
      <c r="W92" s="18">
        <v>4948.2305673561004</v>
      </c>
      <c r="X92" s="18">
        <v>15.0037276422786</v>
      </c>
      <c r="Y92" s="18">
        <v>62.345258541699302</v>
      </c>
      <c r="Z92" s="18">
        <v>4.21402006277434</v>
      </c>
      <c r="AA92" s="18">
        <v>5.2007116816843099E-2</v>
      </c>
      <c r="AB92" s="18">
        <v>0.19519975878444501</v>
      </c>
      <c r="AC92" s="18">
        <v>0.92912981519999405</v>
      </c>
      <c r="AD92" s="18">
        <v>1.18088566663991E-2</v>
      </c>
      <c r="AE92" s="18">
        <v>378.20727908719101</v>
      </c>
      <c r="AF92" s="18">
        <v>13.8507168482164</v>
      </c>
      <c r="AG92" s="18">
        <v>397.43074300322797</v>
      </c>
      <c r="AH92" s="18">
        <v>13.287422992496399</v>
      </c>
      <c r="AI92" s="18">
        <v>1899.8705390586599</v>
      </c>
      <c r="AJ92" s="18">
        <v>58.583127742508601</v>
      </c>
      <c r="AL92" s="18">
        <v>0.70465532087671101</v>
      </c>
      <c r="AM92" s="18">
        <v>0.78826545725598796</v>
      </c>
    </row>
    <row r="93" spans="1:39" x14ac:dyDescent="0.2">
      <c r="A93" s="18" t="s">
        <v>374</v>
      </c>
      <c r="B93" s="18">
        <v>0.23960824580717399</v>
      </c>
      <c r="C93" s="18">
        <v>2.7266350899502298E-3</v>
      </c>
      <c r="D93" s="18">
        <v>1.11402151638415E-2</v>
      </c>
      <c r="E93" s="18">
        <v>1386.0342757440601</v>
      </c>
      <c r="F93" s="18">
        <v>14.631165377465299</v>
      </c>
      <c r="G93" s="18">
        <v>59.778564063622902</v>
      </c>
      <c r="H93" s="18">
        <v>28.942791086644</v>
      </c>
      <c r="I93" s="18">
        <v>0.21782631126576901</v>
      </c>
      <c r="J93" s="18">
        <v>1.77324147377028</v>
      </c>
      <c r="K93" s="18">
        <v>3450.616233277</v>
      </c>
      <c r="L93" s="18">
        <v>7.2929718067839202</v>
      </c>
      <c r="M93" s="18">
        <v>59.369320444710198</v>
      </c>
      <c r="N93" s="18">
        <v>0.49837985617072</v>
      </c>
      <c r="O93" s="18">
        <v>6.5677896037851999E-3</v>
      </c>
      <c r="P93" s="18">
        <v>1.83234825438961E-2</v>
      </c>
      <c r="Q93" s="18">
        <v>8166.4078634787402</v>
      </c>
      <c r="R93" s="18">
        <v>88.749420493217897</v>
      </c>
      <c r="S93" s="18">
        <v>247.60209374720901</v>
      </c>
      <c r="T93" s="18">
        <v>0.87888374891264998</v>
      </c>
      <c r="U93" s="18">
        <v>8.0638047905181604E-3</v>
      </c>
      <c r="V93" s="18">
        <v>3.6524503399257301E-2</v>
      </c>
      <c r="W93" s="18">
        <v>4956.7706158425799</v>
      </c>
      <c r="X93" s="18">
        <v>11.5007288734491</v>
      </c>
      <c r="Y93" s="18">
        <v>52.091837754573802</v>
      </c>
      <c r="Z93" s="18">
        <v>4.1721425239600798</v>
      </c>
      <c r="AA93" s="18">
        <v>4.85076196586064E-2</v>
      </c>
      <c r="AB93" s="18">
        <v>0.19818762036563101</v>
      </c>
      <c r="AC93" s="18">
        <v>0.89552960260004499</v>
      </c>
      <c r="AD93" s="18">
        <v>1.274670485864E-2</v>
      </c>
      <c r="AE93" s="18">
        <v>380.11840531279302</v>
      </c>
      <c r="AF93" s="18">
        <v>14.0671824126996</v>
      </c>
      <c r="AG93" s="18">
        <v>427.828999755962</v>
      </c>
      <c r="AH93" s="18">
        <v>13.459216563538099</v>
      </c>
      <c r="AI93" s="18">
        <v>1916.16818420133</v>
      </c>
      <c r="AJ93" s="18">
        <v>56.371851600847997</v>
      </c>
      <c r="AL93" s="18">
        <v>0.59674444126828896</v>
      </c>
      <c r="AM93" s="18">
        <v>0.77496214921710704</v>
      </c>
    </row>
    <row r="94" spans="1:39" x14ac:dyDescent="0.2">
      <c r="A94" s="18" t="s">
        <v>375</v>
      </c>
      <c r="B94" s="18">
        <v>0.239352029792465</v>
      </c>
      <c r="C94" s="18">
        <v>3.10176064297496E-3</v>
      </c>
      <c r="D94" s="18">
        <v>1.12268178528767E-2</v>
      </c>
      <c r="E94" s="18">
        <v>1382.5946899799901</v>
      </c>
      <c r="F94" s="18">
        <v>16.068348319139201</v>
      </c>
      <c r="G94" s="18">
        <v>58.159361904383402</v>
      </c>
      <c r="H94" s="18">
        <v>29.987643724437898</v>
      </c>
      <c r="I94" s="18">
        <v>0.25147987415998502</v>
      </c>
      <c r="J94" s="18">
        <v>1.84044644018231</v>
      </c>
      <c r="K94" s="18">
        <v>3485.2008419077101</v>
      </c>
      <c r="L94" s="18">
        <v>8.1742309036023304</v>
      </c>
      <c r="M94" s="18">
        <v>59.822815714439201</v>
      </c>
      <c r="N94" s="18">
        <v>0.497145931431064</v>
      </c>
      <c r="O94" s="18">
        <v>6.9029774119743004E-3</v>
      </c>
      <c r="P94" s="18">
        <v>1.8406330057239299E-2</v>
      </c>
      <c r="Q94" s="18">
        <v>8149.0829068004005</v>
      </c>
      <c r="R94" s="18">
        <v>92.6109008842283</v>
      </c>
      <c r="S94" s="18">
        <v>246.940806385435</v>
      </c>
      <c r="T94" s="18">
        <v>0.91063931911184204</v>
      </c>
      <c r="U94" s="18">
        <v>9.3438338927100493E-3</v>
      </c>
      <c r="V94" s="18">
        <v>3.8061958499691698E-2</v>
      </c>
      <c r="W94" s="18">
        <v>4952.5528040427898</v>
      </c>
      <c r="X94" s="18">
        <v>19.8554636424508</v>
      </c>
      <c r="Y94" s="18">
        <v>80.880914818136702</v>
      </c>
      <c r="Z94" s="18">
        <v>4.1906127461720404</v>
      </c>
      <c r="AA94" s="18">
        <v>5.2970077499005203E-2</v>
      </c>
      <c r="AB94" s="18">
        <v>0.191725113632147</v>
      </c>
      <c r="AC94" s="18">
        <v>1.02492463102776</v>
      </c>
      <c r="AD94" s="18">
        <v>1.34587975511644E-2</v>
      </c>
      <c r="AE94" s="18">
        <v>392.08957763671202</v>
      </c>
      <c r="AF94" s="18">
        <v>14.3944521415269</v>
      </c>
      <c r="AG94" s="18">
        <v>350.406706441273</v>
      </c>
      <c r="AH94" s="18">
        <v>11.939636011975001</v>
      </c>
      <c r="AI94" s="18">
        <v>2019.4294175631901</v>
      </c>
      <c r="AJ94" s="18">
        <v>61.289593156315803</v>
      </c>
      <c r="AL94" s="18">
        <v>0.73316298480419795</v>
      </c>
      <c r="AM94" s="18">
        <v>0.69524749582254997</v>
      </c>
    </row>
    <row r="95" spans="1:39" x14ac:dyDescent="0.2">
      <c r="A95" s="18" t="s">
        <v>376</v>
      </c>
      <c r="B95" s="18">
        <v>0.23984809073902599</v>
      </c>
      <c r="C95" s="18">
        <v>3.0319835924425801E-3</v>
      </c>
      <c r="D95" s="18">
        <v>1.1229294967118801E-2</v>
      </c>
      <c r="E95" s="18">
        <v>1385.2024432948199</v>
      </c>
      <c r="F95" s="18">
        <v>15.7865637620149</v>
      </c>
      <c r="G95" s="18">
        <v>58.4673285972776</v>
      </c>
      <c r="H95" s="18">
        <v>30.433975309573199</v>
      </c>
      <c r="I95" s="18">
        <v>0.27704210769460202</v>
      </c>
      <c r="J95" s="18">
        <v>1.8705175491083801</v>
      </c>
      <c r="K95" s="18">
        <v>3499.5010742883801</v>
      </c>
      <c r="L95" s="18">
        <v>8.8961830754605309</v>
      </c>
      <c r="M95" s="18">
        <v>60.064755864020199</v>
      </c>
      <c r="N95" s="18">
        <v>0.50673697556638297</v>
      </c>
      <c r="O95" s="18">
        <v>6.17772010587054E-3</v>
      </c>
      <c r="P95" s="18">
        <v>1.84572363999332E-2</v>
      </c>
      <c r="Q95" s="18">
        <v>8279.71457948842</v>
      </c>
      <c r="R95" s="18">
        <v>83.021411908273507</v>
      </c>
      <c r="S95" s="18">
        <v>248.04390609912599</v>
      </c>
      <c r="T95" s="18">
        <v>0.92019127753098995</v>
      </c>
      <c r="U95" s="18">
        <v>1.0388387764126501E-2</v>
      </c>
      <c r="V95" s="18">
        <v>3.8706203954076202E-2</v>
      </c>
      <c r="W95" s="18">
        <v>4955.5647432391697</v>
      </c>
      <c r="X95" s="18">
        <v>20.710278362242299</v>
      </c>
      <c r="Y95" s="18">
        <v>77.164645413295801</v>
      </c>
      <c r="Z95" s="18">
        <v>4.1821761825777797</v>
      </c>
      <c r="AA95" s="18">
        <v>5.4299370873822202E-2</v>
      </c>
      <c r="AB95" s="18">
        <v>0.20110387588869399</v>
      </c>
      <c r="AC95" s="18">
        <v>1.06823550612493</v>
      </c>
      <c r="AD95" s="18">
        <v>1.38799828158122E-2</v>
      </c>
      <c r="AE95" s="18">
        <v>401.84844926626499</v>
      </c>
      <c r="AF95" s="18">
        <v>15.979160612683501</v>
      </c>
      <c r="AG95" s="18">
        <v>342.90110267966003</v>
      </c>
      <c r="AH95" s="18">
        <v>12.584314499071001</v>
      </c>
      <c r="AI95" s="18">
        <v>2105.1776920480502</v>
      </c>
      <c r="AJ95" s="18">
        <v>69.675985958556197</v>
      </c>
      <c r="AL95" s="18">
        <v>0.60556581485702199</v>
      </c>
      <c r="AM95" s="18">
        <v>0.73620298080178803</v>
      </c>
    </row>
    <row r="96" spans="1:39" x14ac:dyDescent="0.2">
      <c r="A96" s="18" t="s">
        <v>377</v>
      </c>
      <c r="B96" s="18">
        <v>0.241622512321126</v>
      </c>
      <c r="C96" s="18">
        <v>3.2787725669061801E-3</v>
      </c>
      <c r="D96" s="18">
        <v>1.13749780267598E-2</v>
      </c>
      <c r="E96" s="18">
        <v>1394.3075044478201</v>
      </c>
      <c r="F96" s="18">
        <v>17.002933342778299</v>
      </c>
      <c r="G96" s="18">
        <v>58.987925883210202</v>
      </c>
      <c r="H96" s="18">
        <v>30.611282501200598</v>
      </c>
      <c r="I96" s="18">
        <v>0.243849864215992</v>
      </c>
      <c r="J96" s="18">
        <v>1.87725513959852</v>
      </c>
      <c r="K96" s="18">
        <v>3505.54447108761</v>
      </c>
      <c r="L96" s="18">
        <v>7.7949554646135697</v>
      </c>
      <c r="M96" s="18">
        <v>60.008728140713501</v>
      </c>
      <c r="N96" s="18">
        <v>0.50268126850775596</v>
      </c>
      <c r="O96" s="18">
        <v>6.4267869097477297E-3</v>
      </c>
      <c r="P96" s="18">
        <v>1.84119681247642E-2</v>
      </c>
      <c r="Q96" s="18">
        <v>8224.6699248012592</v>
      </c>
      <c r="R96" s="18">
        <v>86.775850318573504</v>
      </c>
      <c r="S96" s="18">
        <v>248.60232842660099</v>
      </c>
      <c r="T96" s="18">
        <v>0.91912046000335601</v>
      </c>
      <c r="U96" s="18">
        <v>1.01033450835139E-2</v>
      </c>
      <c r="V96" s="18">
        <v>3.85899419149811E-2</v>
      </c>
      <c r="W96" s="18">
        <v>4947.5973416994702</v>
      </c>
      <c r="X96" s="18">
        <v>19.145829416689299</v>
      </c>
      <c r="Y96" s="18">
        <v>73.127903580149507</v>
      </c>
      <c r="Z96" s="18">
        <v>4.1547431065231404</v>
      </c>
      <c r="AA96" s="18">
        <v>5.6724582664800197E-2</v>
      </c>
      <c r="AB96" s="18">
        <v>0.196793424436287</v>
      </c>
      <c r="AC96" s="18">
        <v>1.0976347828798301</v>
      </c>
      <c r="AD96" s="18">
        <v>1.6774790458146199E-2</v>
      </c>
      <c r="AE96" s="18">
        <v>400.42972846441</v>
      </c>
      <c r="AF96" s="18">
        <v>16.0129369212565</v>
      </c>
      <c r="AG96" s="18">
        <v>329.314032451809</v>
      </c>
      <c r="AH96" s="18">
        <v>11.717583963636001</v>
      </c>
      <c r="AI96" s="18">
        <v>2086.8701008309699</v>
      </c>
      <c r="AJ96" s="18">
        <v>68.115208147988298</v>
      </c>
      <c r="AL96" s="18">
        <v>0.67822779933181598</v>
      </c>
      <c r="AM96" s="18">
        <v>0.80883922806333397</v>
      </c>
    </row>
    <row r="98" spans="1:39" s="16" customFormat="1" x14ac:dyDescent="0.2">
      <c r="A98" s="16" t="s">
        <v>378</v>
      </c>
    </row>
    <row r="99" spans="1:39" x14ac:dyDescent="0.2">
      <c r="A99" s="18" t="s">
        <v>379</v>
      </c>
      <c r="B99" s="18">
        <v>0.139988881528682</v>
      </c>
      <c r="C99" s="18">
        <v>2.3512664559437501E-3</v>
      </c>
      <c r="D99" s="18">
        <v>6.7351616940884602E-3</v>
      </c>
      <c r="E99" s="18">
        <v>844.09890816679501</v>
      </c>
      <c r="F99" s="18">
        <v>13.299959894434</v>
      </c>
      <c r="G99" s="18">
        <v>38.097502810650198</v>
      </c>
      <c r="H99" s="18">
        <v>17.461003135557899</v>
      </c>
      <c r="I99" s="18">
        <v>0.307899577219022</v>
      </c>
      <c r="J99" s="18">
        <v>1.10558395582001</v>
      </c>
      <c r="K99" s="18">
        <v>2955.3111198389802</v>
      </c>
      <c r="L99" s="18">
        <v>17.067121683593701</v>
      </c>
      <c r="M99" s="18">
        <v>61.283409596845999</v>
      </c>
      <c r="N99" s="18">
        <v>-546700.52680059895</v>
      </c>
      <c r="O99" s="18">
        <v>91322.779798013595</v>
      </c>
      <c r="P99" s="18">
        <v>93230.796220450298</v>
      </c>
      <c r="Q99" s="18">
        <v>117860.60731527201</v>
      </c>
      <c r="R99" s="18">
        <v>3542.4696727466699</v>
      </c>
      <c r="S99" s="18">
        <v>3616.4828633934499</v>
      </c>
      <c r="T99" s="18">
        <v>0.90795945448336501</v>
      </c>
      <c r="U99" s="18">
        <v>1.05399196190669E-2</v>
      </c>
      <c r="V99" s="18">
        <v>3.8278062703170898E-2</v>
      </c>
      <c r="W99" s="18">
        <v>4947.2395035664504</v>
      </c>
      <c r="X99" s="18">
        <v>18.3221173958094</v>
      </c>
      <c r="Y99" s="18">
        <v>66.540845080347495</v>
      </c>
      <c r="Z99" s="18">
        <v>7.1929526085296498</v>
      </c>
      <c r="AA99" s="18">
        <v>0.120262872872911</v>
      </c>
      <c r="AB99" s="18">
        <v>0.34449089874399103</v>
      </c>
      <c r="AC99" s="18">
        <v>-1647069.9037702901</v>
      </c>
      <c r="AD99" s="18">
        <v>261071.007842861</v>
      </c>
      <c r="AE99" s="18">
        <v>73.609783487888393</v>
      </c>
      <c r="AF99" s="18">
        <v>3.5248358364663002</v>
      </c>
      <c r="AG99" s="18">
        <v>-5.4321427548954503E-5</v>
      </c>
      <c r="AH99" s="18">
        <v>4.3254893268402397E-6</v>
      </c>
      <c r="AI99" s="18">
        <v>216.931724698973</v>
      </c>
      <c r="AJ99" s="18">
        <v>10.2851198859554</v>
      </c>
      <c r="AL99" s="18">
        <v>0.73987743705463305</v>
      </c>
      <c r="AM99" s="18">
        <v>0.30648374855018501</v>
      </c>
    </row>
    <row r="100" spans="1:39" x14ac:dyDescent="0.2">
      <c r="A100" s="18" t="s">
        <v>380</v>
      </c>
      <c r="B100" s="18">
        <v>0.140924974041371</v>
      </c>
      <c r="C100" s="18">
        <v>2.2862347940917102E-3</v>
      </c>
      <c r="D100" s="18">
        <v>6.7496940514278E-3</v>
      </c>
      <c r="E100" s="18">
        <v>849.42020617102696</v>
      </c>
      <c r="F100" s="18">
        <v>12.881811341002599</v>
      </c>
      <c r="G100" s="18">
        <v>38.031214293772301</v>
      </c>
      <c r="H100" s="18">
        <v>17.783437014478501</v>
      </c>
      <c r="I100" s="18">
        <v>0.25606813861019501</v>
      </c>
      <c r="J100" s="18">
        <v>1.1107736733406</v>
      </c>
      <c r="K100" s="18">
        <v>2974.6604414449898</v>
      </c>
      <c r="L100" s="18">
        <v>13.8166022116815</v>
      </c>
      <c r="M100" s="18">
        <v>59.933727308096501</v>
      </c>
      <c r="N100" s="18">
        <v>-181256.347780079</v>
      </c>
      <c r="O100" s="18">
        <v>10185.6192370064</v>
      </c>
      <c r="P100" s="18">
        <v>11935.4201826307</v>
      </c>
      <c r="Q100" s="18">
        <v>117570.121920462</v>
      </c>
      <c r="R100" s="18">
        <v>4685.5722577650204</v>
      </c>
      <c r="S100" s="18">
        <v>5490.5128879468703</v>
      </c>
      <c r="T100" s="18">
        <v>0.91534302103526999</v>
      </c>
      <c r="U100" s="18">
        <v>1.19772041761998E-2</v>
      </c>
      <c r="V100" s="18">
        <v>3.8987604562779603E-2</v>
      </c>
      <c r="W100" s="18">
        <v>4928.8350702259304</v>
      </c>
      <c r="X100" s="18">
        <v>22.9370198873711</v>
      </c>
      <c r="Y100" s="18">
        <v>74.663456351060901</v>
      </c>
      <c r="Z100" s="18">
        <v>7.1342369028658501</v>
      </c>
      <c r="AA100" s="18">
        <v>0.108235387798076</v>
      </c>
      <c r="AB100" s="18">
        <v>0.31954537436951802</v>
      </c>
      <c r="AC100" s="18">
        <v>-564005.26162533101</v>
      </c>
      <c r="AD100" s="18">
        <v>32996.433168781099</v>
      </c>
      <c r="AE100" s="18">
        <v>74.480709916448106</v>
      </c>
      <c r="AF100" s="18">
        <v>3.8760937338769899</v>
      </c>
      <c r="AG100" s="18">
        <v>5.3476167041360302E-3</v>
      </c>
      <c r="AH100" s="18">
        <v>3.01949865422379E-3</v>
      </c>
      <c r="AI100" s="18">
        <v>221.003779361049</v>
      </c>
      <c r="AJ100" s="18">
        <v>9.4604777479210593</v>
      </c>
      <c r="AL100" s="18">
        <v>0.63727225662532605</v>
      </c>
      <c r="AM100" s="18">
        <v>0.54818181537989696</v>
      </c>
    </row>
    <row r="101" spans="1:39" x14ac:dyDescent="0.2">
      <c r="A101" s="18" t="s">
        <v>381</v>
      </c>
      <c r="B101" s="18">
        <v>0.140718260744849</v>
      </c>
      <c r="C101" s="18">
        <v>1.9832074961450598E-3</v>
      </c>
      <c r="D101" s="18">
        <v>6.6460663413893404E-3</v>
      </c>
      <c r="E101" s="18">
        <v>848.36796547761503</v>
      </c>
      <c r="F101" s="18">
        <v>11.188487554763601</v>
      </c>
      <c r="G101" s="18">
        <v>37.494528783955801</v>
      </c>
      <c r="H101" s="18">
        <v>17.857133934706201</v>
      </c>
      <c r="I101" s="18">
        <v>0.26355554812881898</v>
      </c>
      <c r="J101" s="18">
        <v>1.1173706943174699</v>
      </c>
      <c r="K101" s="18">
        <v>2980.2068378235099</v>
      </c>
      <c r="L101" s="18">
        <v>14.439904718928601</v>
      </c>
      <c r="M101" s="18">
        <v>61.219452507147203</v>
      </c>
      <c r="N101" s="18">
        <v>341769.22339914099</v>
      </c>
      <c r="O101" s="18">
        <v>39637.0991366901</v>
      </c>
      <c r="P101" s="18">
        <v>41336.6714822457</v>
      </c>
      <c r="Q101" s="18">
        <v>255222.715711725</v>
      </c>
      <c r="R101" s="18">
        <v>2132.75893048131</v>
      </c>
      <c r="S101" s="18">
        <v>2224.20805710591</v>
      </c>
      <c r="T101" s="18">
        <v>0.92442059797168996</v>
      </c>
      <c r="U101" s="18">
        <v>1.1097639828700901E-2</v>
      </c>
      <c r="V101" s="18">
        <v>3.9076361337524297E-2</v>
      </c>
      <c r="W101" s="18">
        <v>4950.53412800761</v>
      </c>
      <c r="X101" s="18">
        <v>19.9389278343276</v>
      </c>
      <c r="Y101" s="18">
        <v>70.207788391363806</v>
      </c>
      <c r="Z101" s="18">
        <v>7.1352239790032002</v>
      </c>
      <c r="AA101" s="18">
        <v>9.7146047418493101E-2</v>
      </c>
      <c r="AB101" s="18">
        <v>0.32555296266379002</v>
      </c>
      <c r="AC101" s="18">
        <v>1062728.92668256</v>
      </c>
      <c r="AD101" s="18">
        <v>124719.744543254</v>
      </c>
      <c r="AE101" s="18">
        <v>73.849219612133993</v>
      </c>
      <c r="AF101" s="18">
        <v>3.4731299879090498</v>
      </c>
      <c r="AG101" s="18">
        <v>7.5644239529713199E-5</v>
      </c>
      <c r="AH101" s="18">
        <v>3.9891761438188397E-6</v>
      </c>
      <c r="AI101" s="18">
        <v>222.55422673216501</v>
      </c>
      <c r="AJ101" s="18">
        <v>9.6164004068756608</v>
      </c>
      <c r="AL101" s="18">
        <v>0.64358626389130902</v>
      </c>
      <c r="AM101" s="18">
        <v>0.35911934434242498</v>
      </c>
    </row>
    <row r="102" spans="1:39" x14ac:dyDescent="0.2">
      <c r="A102" s="18" t="s">
        <v>382</v>
      </c>
      <c r="B102" s="18">
        <v>0.138445843025994</v>
      </c>
      <c r="C102" s="18">
        <v>2.7791647409703699E-3</v>
      </c>
      <c r="D102" s="18">
        <v>6.8341269550686598E-3</v>
      </c>
      <c r="E102" s="18">
        <v>835.16646843535</v>
      </c>
      <c r="F102" s="18">
        <v>15.745849527708</v>
      </c>
      <c r="G102" s="18">
        <v>38.719955352553797</v>
      </c>
      <c r="H102" s="18">
        <v>17.597595563995501</v>
      </c>
      <c r="I102" s="18">
        <v>0.36343850956443802</v>
      </c>
      <c r="J102" s="18">
        <v>1.1299570337665701</v>
      </c>
      <c r="K102" s="18">
        <v>2963.4377841904702</v>
      </c>
      <c r="L102" s="18">
        <v>19.413332004882999</v>
      </c>
      <c r="M102" s="18">
        <v>60.357475805336598</v>
      </c>
      <c r="N102" s="18">
        <v>896372.15127202403</v>
      </c>
      <c r="O102" s="18">
        <v>174299.82168500099</v>
      </c>
      <c r="P102" s="18">
        <v>176994.50930611001</v>
      </c>
      <c r="Q102" s="18">
        <v>269798.27911659097</v>
      </c>
      <c r="R102" s="18">
        <v>3993.9306419314998</v>
      </c>
      <c r="S102" s="18">
        <v>4055.6770932837799</v>
      </c>
      <c r="T102" s="18">
        <v>0.92339716854030596</v>
      </c>
      <c r="U102" s="18">
        <v>1.21978337907689E-2</v>
      </c>
      <c r="V102" s="18">
        <v>3.9367973444092597E-2</v>
      </c>
      <c r="W102" s="18">
        <v>4932.4990276869103</v>
      </c>
      <c r="X102" s="18">
        <v>28.470877296959799</v>
      </c>
      <c r="Y102" s="18">
        <v>91.888507466380403</v>
      </c>
      <c r="Z102" s="18">
        <v>7.2936990857030697</v>
      </c>
      <c r="AA102" s="18">
        <v>0.147688471894076</v>
      </c>
      <c r="AB102" s="18">
        <v>0.36317450054140799</v>
      </c>
      <c r="AC102" s="18">
        <v>2697602.1144057601</v>
      </c>
      <c r="AD102" s="18">
        <v>512931.65272695402</v>
      </c>
      <c r="AE102" s="18">
        <v>74.813172800424496</v>
      </c>
      <c r="AF102" s="18">
        <v>3.1367283210585901</v>
      </c>
      <c r="AG102" s="18">
        <v>4.3352459964880902E-5</v>
      </c>
      <c r="AH102" s="18">
        <v>4.0246180782883996E-6</v>
      </c>
      <c r="AI102" s="18">
        <v>219.84318232687201</v>
      </c>
      <c r="AJ102" s="18">
        <v>9.8984029775601297</v>
      </c>
      <c r="AL102" s="18">
        <v>0.776647084199377</v>
      </c>
      <c r="AM102" s="18">
        <v>0.34353092515727901</v>
      </c>
    </row>
    <row r="103" spans="1:39" x14ac:dyDescent="0.2">
      <c r="A103" s="18" t="s">
        <v>383</v>
      </c>
      <c r="B103" s="18">
        <v>0.13753152280881401</v>
      </c>
      <c r="C103" s="18">
        <v>2.8472451564251302E-3</v>
      </c>
      <c r="D103" s="18">
        <v>6.8247346434235799E-3</v>
      </c>
      <c r="E103" s="18">
        <v>829.95685168174305</v>
      </c>
      <c r="F103" s="18">
        <v>16.1329000125418</v>
      </c>
      <c r="G103" s="18">
        <v>38.669926741651899</v>
      </c>
      <c r="H103" s="18">
        <v>17.5952260897405</v>
      </c>
      <c r="I103" s="18">
        <v>0.398325149680682</v>
      </c>
      <c r="J103" s="18">
        <v>1.14179983257258</v>
      </c>
      <c r="K103" s="18">
        <v>2959.3651369393601</v>
      </c>
      <c r="L103" s="18">
        <v>21.884806773214098</v>
      </c>
      <c r="M103" s="18">
        <v>62.732842075301797</v>
      </c>
      <c r="N103" s="18">
        <v>-24439.211464149699</v>
      </c>
      <c r="O103" s="18">
        <v>674.14962397298495</v>
      </c>
      <c r="P103" s="18">
        <v>1076.2679083230801</v>
      </c>
      <c r="Q103" s="18">
        <v>113446.437843544</v>
      </c>
      <c r="R103" s="18">
        <v>3884.6429080488801</v>
      </c>
      <c r="S103" s="18">
        <v>6201.7634491707604</v>
      </c>
      <c r="T103" s="18">
        <v>0.92583246659766605</v>
      </c>
      <c r="U103" s="18">
        <v>1.3279092313271601E-2</v>
      </c>
      <c r="V103" s="18">
        <v>3.9806845847069901E-2</v>
      </c>
      <c r="W103" s="18">
        <v>4919.4526289509004</v>
      </c>
      <c r="X103" s="18">
        <v>24.104631629362</v>
      </c>
      <c r="Y103" s="18">
        <v>72.258655398564599</v>
      </c>
      <c r="Z103" s="18">
        <v>7.3638767221163901</v>
      </c>
      <c r="AA103" s="18">
        <v>0.15722405996651401</v>
      </c>
      <c r="AB103" s="18">
        <v>0.376859887323646</v>
      </c>
      <c r="AC103" s="18">
        <v>-78324.697955842305</v>
      </c>
      <c r="AD103" s="18">
        <v>1447.92615640649</v>
      </c>
      <c r="AE103" s="18">
        <v>74.1894708302342</v>
      </c>
      <c r="AF103" s="18">
        <v>3.1179510260728498</v>
      </c>
      <c r="AG103" s="18">
        <v>-9.1438548101352099E-4</v>
      </c>
      <c r="AH103" s="18">
        <v>2.5896419504163701E-5</v>
      </c>
      <c r="AI103" s="18">
        <v>221.119602704155</v>
      </c>
      <c r="AJ103" s="18">
        <v>10.7352119417318</v>
      </c>
      <c r="AL103" s="18">
        <v>0.77298808333638802</v>
      </c>
      <c r="AM103" s="18">
        <v>0.28285094758943302</v>
      </c>
    </row>
    <row r="104" spans="1:39" x14ac:dyDescent="0.2">
      <c r="A104" s="18" t="s">
        <v>384</v>
      </c>
      <c r="B104" s="18">
        <v>0.137339605539995</v>
      </c>
      <c r="C104" s="18">
        <v>2.8945490586415098E-3</v>
      </c>
      <c r="D104" s="18">
        <v>6.8364962749541697E-3</v>
      </c>
      <c r="E104" s="18">
        <v>828.84029072435499</v>
      </c>
      <c r="F104" s="18">
        <v>16.385531727872699</v>
      </c>
      <c r="G104" s="18">
        <v>38.700199703410398</v>
      </c>
      <c r="H104" s="18">
        <v>17.315112828313399</v>
      </c>
      <c r="I104" s="18">
        <v>0.36983339786802499</v>
      </c>
      <c r="J104" s="18">
        <v>1.1163804836887701</v>
      </c>
      <c r="K104" s="18">
        <v>2944.90826404482</v>
      </c>
      <c r="L104" s="18">
        <v>20.504307493812998</v>
      </c>
      <c r="M104" s="18">
        <v>61.894379603366197</v>
      </c>
      <c r="N104" s="18">
        <v>139519.19685094099</v>
      </c>
      <c r="O104" s="18">
        <v>16939.0485250739</v>
      </c>
      <c r="P104" s="18">
        <v>17602.998311305299</v>
      </c>
      <c r="Q104" s="18">
        <v>237171.209117911</v>
      </c>
      <c r="R104" s="18">
        <v>2144.2818114195802</v>
      </c>
      <c r="S104" s="18">
        <v>2228.3299471932401</v>
      </c>
      <c r="T104" s="18">
        <v>0.91741195601567604</v>
      </c>
      <c r="U104" s="18">
        <v>1.2386198305355501E-2</v>
      </c>
      <c r="V104" s="18">
        <v>3.9193406142335699E-2</v>
      </c>
      <c r="W104" s="18">
        <v>4943.5942306124598</v>
      </c>
      <c r="X104" s="18">
        <v>17.1260938171208</v>
      </c>
      <c r="Y104" s="18">
        <v>54.191765225971999</v>
      </c>
      <c r="Z104" s="18">
        <v>7.38546572798084</v>
      </c>
      <c r="AA104" s="18">
        <v>0.15708992414491901</v>
      </c>
      <c r="AB104" s="18">
        <v>0.37102314021708199</v>
      </c>
      <c r="AC104" s="18">
        <v>422051.43467220297</v>
      </c>
      <c r="AD104" s="18">
        <v>47486.827171664598</v>
      </c>
      <c r="AE104" s="18">
        <v>75.296652544440306</v>
      </c>
      <c r="AF104" s="18">
        <v>3.1009691015104299</v>
      </c>
      <c r="AG104" s="18">
        <v>2.06736355000113E-4</v>
      </c>
      <c r="AH104" s="18">
        <v>9.6894493407273105E-6</v>
      </c>
      <c r="AI104" s="18">
        <v>224.02912763654899</v>
      </c>
      <c r="AJ104" s="18">
        <v>11.1147820199809</v>
      </c>
      <c r="AL104" s="18">
        <v>0.79924611608533602</v>
      </c>
      <c r="AM104" s="18">
        <v>0.36905401338543697</v>
      </c>
    </row>
    <row r="105" spans="1:39" x14ac:dyDescent="0.2">
      <c r="A105" s="18" t="s">
        <v>385</v>
      </c>
      <c r="B105" s="18">
        <v>0.139777901620291</v>
      </c>
      <c r="C105" s="18">
        <v>2.63377634373623E-3</v>
      </c>
      <c r="D105" s="18">
        <v>6.8301188802365404E-3</v>
      </c>
      <c r="E105" s="18">
        <v>842.77878782585606</v>
      </c>
      <c r="F105" s="18">
        <v>14.8862155896503</v>
      </c>
      <c r="G105" s="18">
        <v>38.604121567098602</v>
      </c>
      <c r="H105" s="18">
        <v>17.5812642562326</v>
      </c>
      <c r="I105" s="18">
        <v>0.34023713960107899</v>
      </c>
      <c r="J105" s="18">
        <v>1.1210355813419599</v>
      </c>
      <c r="K105" s="18">
        <v>2960.9969923553999</v>
      </c>
      <c r="L105" s="18">
        <v>18.36947064784</v>
      </c>
      <c r="M105" s="18">
        <v>60.524933376732299</v>
      </c>
      <c r="N105" s="18">
        <v>-42363.4914511897</v>
      </c>
      <c r="O105" s="18">
        <v>713.33441694140197</v>
      </c>
      <c r="P105" s="18">
        <v>1619.52904253468</v>
      </c>
      <c r="Q105" s="18">
        <v>113776.978622107</v>
      </c>
      <c r="R105" s="18">
        <v>3839.0389223099901</v>
      </c>
      <c r="S105" s="18">
        <v>8716.0171757320604</v>
      </c>
      <c r="T105" s="18">
        <v>0.91609916168473304</v>
      </c>
      <c r="U105" s="18">
        <v>1.30690175186923E-2</v>
      </c>
      <c r="V105" s="18">
        <v>3.93614849417089E-2</v>
      </c>
      <c r="W105" s="18">
        <v>4933.6014101247401</v>
      </c>
      <c r="X105" s="18">
        <v>16.1397189227316</v>
      </c>
      <c r="Y105" s="18">
        <v>48.609874646803902</v>
      </c>
      <c r="Z105" s="18">
        <v>7.2403333473884501</v>
      </c>
      <c r="AA105" s="18">
        <v>0.137517560642585</v>
      </c>
      <c r="AB105" s="18">
        <v>0.35662150643231</v>
      </c>
      <c r="AC105" s="18">
        <v>-136798.51604810401</v>
      </c>
      <c r="AD105" s="18">
        <v>2252.7900205842798</v>
      </c>
      <c r="AE105" s="18">
        <v>73.150349383177698</v>
      </c>
      <c r="AF105" s="18">
        <v>3.4534525069602799</v>
      </c>
      <c r="AG105" s="18">
        <v>-5.3187561050406095E-4</v>
      </c>
      <c r="AH105" s="18">
        <v>2.79190878769147E-5</v>
      </c>
      <c r="AI105" s="18">
        <v>218.85551014603999</v>
      </c>
      <c r="AJ105" s="18">
        <v>10.9834487649146</v>
      </c>
      <c r="AL105" s="18">
        <v>0.71766799037538098</v>
      </c>
      <c r="AM105" s="18">
        <v>0.41148502035071699</v>
      </c>
    </row>
    <row r="106" spans="1:39" x14ac:dyDescent="0.2">
      <c r="A106" s="18" t="s">
        <v>386</v>
      </c>
      <c r="B106" s="18">
        <v>0.137626434521332</v>
      </c>
      <c r="C106" s="18">
        <v>2.5534952700543498E-3</v>
      </c>
      <c r="D106" s="18">
        <v>6.7098019362601402E-3</v>
      </c>
      <c r="E106" s="18">
        <v>830.63559023517405</v>
      </c>
      <c r="F106" s="18">
        <v>14.437727317488701</v>
      </c>
      <c r="G106" s="18">
        <v>37.937916645531701</v>
      </c>
      <c r="H106" s="18">
        <v>17.4120869082859</v>
      </c>
      <c r="I106" s="18">
        <v>0.36015243090516402</v>
      </c>
      <c r="J106" s="18">
        <v>1.1174818093302601</v>
      </c>
      <c r="K106" s="18">
        <v>2950.8122390936601</v>
      </c>
      <c r="L106" s="18">
        <v>19.704058477586798</v>
      </c>
      <c r="M106" s="18">
        <v>61.137798968462803</v>
      </c>
      <c r="N106" s="18">
        <v>335075.57875008398</v>
      </c>
      <c r="O106" s="18">
        <v>18785.884858656402</v>
      </c>
      <c r="P106" s="18">
        <v>22027.282386291299</v>
      </c>
      <c r="Q106" s="18">
        <v>257219.075754872</v>
      </c>
      <c r="R106" s="18">
        <v>918.93263407659799</v>
      </c>
      <c r="S106" s="18">
        <v>1077.48923072189</v>
      </c>
      <c r="T106" s="18">
        <v>0.91702384766759504</v>
      </c>
      <c r="U106" s="18">
        <v>1.2744769643866101E-2</v>
      </c>
      <c r="V106" s="18">
        <v>3.9290804707634699E-2</v>
      </c>
      <c r="W106" s="18">
        <v>4934.3790757102097</v>
      </c>
      <c r="X106" s="18">
        <v>23.121903072171499</v>
      </c>
      <c r="Y106" s="18">
        <v>71.282432202671004</v>
      </c>
      <c r="Z106" s="18">
        <v>7.3168465805457297</v>
      </c>
      <c r="AA106" s="18">
        <v>0.13296287512077001</v>
      </c>
      <c r="AB106" s="18">
        <v>0.34938563129473299</v>
      </c>
      <c r="AC106" s="18">
        <v>1069987.8309413299</v>
      </c>
      <c r="AD106" s="18">
        <v>40659.512967883697</v>
      </c>
      <c r="AE106" s="18">
        <v>74.064797753456503</v>
      </c>
      <c r="AF106" s="18">
        <v>3.3476608335338001</v>
      </c>
      <c r="AG106" s="18">
        <v>6.7743456442289799E-5</v>
      </c>
      <c r="AH106" s="18">
        <v>1.83493196692812E-6</v>
      </c>
      <c r="AI106" s="18">
        <v>223.68783304667599</v>
      </c>
      <c r="AJ106" s="18">
        <v>10.9476582615032</v>
      </c>
      <c r="AL106" s="18">
        <v>0.74003561291304398</v>
      </c>
      <c r="AM106" s="18">
        <v>0.30804561636337302</v>
      </c>
    </row>
    <row r="107" spans="1:39" x14ac:dyDescent="0.2">
      <c r="A107" s="18" t="s">
        <v>387</v>
      </c>
      <c r="B107" s="18">
        <v>0.139007096752124</v>
      </c>
      <c r="C107" s="18">
        <v>3.1351472182087202E-3</v>
      </c>
      <c r="D107" s="18">
        <v>7.0075605841245503E-3</v>
      </c>
      <c r="E107" s="18">
        <v>838.15586245371696</v>
      </c>
      <c r="F107" s="18">
        <v>17.717124835750301</v>
      </c>
      <c r="G107" s="18">
        <v>39.600636595928101</v>
      </c>
      <c r="H107" s="18">
        <v>17.674749708220499</v>
      </c>
      <c r="I107" s="18">
        <v>0.38814197354159002</v>
      </c>
      <c r="J107" s="18">
        <v>1.14179120767209</v>
      </c>
      <c r="K107" s="18">
        <v>2964.2293760186399</v>
      </c>
      <c r="L107" s="18">
        <v>21.064893566966699</v>
      </c>
      <c r="M107" s="18">
        <v>61.966269831247203</v>
      </c>
      <c r="N107" s="18">
        <v>-406885.855459782</v>
      </c>
      <c r="O107" s="18">
        <v>26266.612462559598</v>
      </c>
      <c r="P107" s="18">
        <v>29748.936813178902</v>
      </c>
      <c r="Q107" s="18">
        <v>112788.934418324</v>
      </c>
      <c r="R107" s="18">
        <v>6175.1042933456802</v>
      </c>
      <c r="S107" s="18">
        <v>6993.7753754649602</v>
      </c>
      <c r="T107" s="18">
        <v>0.92416413280453602</v>
      </c>
      <c r="U107" s="18">
        <v>1.43029118177015E-2</v>
      </c>
      <c r="V107" s="18">
        <v>4.0103718203563697E-2</v>
      </c>
      <c r="W107" s="18">
        <v>4922.1626368753996</v>
      </c>
      <c r="X107" s="18">
        <v>24.2199722386597</v>
      </c>
      <c r="Y107" s="18">
        <v>67.910013984371702</v>
      </c>
      <c r="Z107" s="18">
        <v>7.3000403469319703</v>
      </c>
      <c r="AA107" s="18">
        <v>0.16163906018486901</v>
      </c>
      <c r="AB107" s="18">
        <v>0.3612894158296</v>
      </c>
      <c r="AC107" s="18">
        <v>-1284100.36160664</v>
      </c>
      <c r="AD107" s="18">
        <v>70097.477058243705</v>
      </c>
      <c r="AE107" s="18">
        <v>73.328178462079094</v>
      </c>
      <c r="AF107" s="18">
        <v>2.9928868997846099</v>
      </c>
      <c r="AG107" s="18">
        <v>-5.2138773100914898E-5</v>
      </c>
      <c r="AH107" s="18">
        <v>7.2698525561618097E-7</v>
      </c>
      <c r="AI107" s="18">
        <v>219.88099837544499</v>
      </c>
      <c r="AJ107" s="18">
        <v>10.704139087639099</v>
      </c>
      <c r="AL107" s="18">
        <v>0.74481696634654104</v>
      </c>
      <c r="AM107" s="18">
        <v>0.47693579653958701</v>
      </c>
    </row>
    <row r="108" spans="1:39" x14ac:dyDescent="0.2">
      <c r="A108" s="18" t="s">
        <v>388</v>
      </c>
      <c r="B108" s="18">
        <v>0.136337967442487</v>
      </c>
      <c r="C108" s="18">
        <v>2.6172890631586199E-3</v>
      </c>
      <c r="D108" s="18">
        <v>6.6808587169401804E-3</v>
      </c>
      <c r="E108" s="18">
        <v>823.30040321948104</v>
      </c>
      <c r="F108" s="18">
        <v>14.789453054731601</v>
      </c>
      <c r="G108" s="18">
        <v>37.751369441875397</v>
      </c>
      <c r="H108" s="18">
        <v>17.092101399821999</v>
      </c>
      <c r="I108" s="18">
        <v>0.32459186649342098</v>
      </c>
      <c r="J108" s="18">
        <v>1.0878874719340099</v>
      </c>
      <c r="K108" s="18">
        <v>2934.1487624854299</v>
      </c>
      <c r="L108" s="18">
        <v>18.0086976835406</v>
      </c>
      <c r="M108" s="18">
        <v>60.357139590150503</v>
      </c>
      <c r="N108" s="18">
        <v>579967.34823381202</v>
      </c>
      <c r="O108" s="18">
        <v>66974.112393622403</v>
      </c>
      <c r="P108" s="18">
        <v>69870.118584260796</v>
      </c>
      <c r="Q108" s="18">
        <v>265637.30026627902</v>
      </c>
      <c r="R108" s="18">
        <v>1982.2153985094401</v>
      </c>
      <c r="S108" s="18">
        <v>2067.9277410862801</v>
      </c>
      <c r="T108" s="18">
        <v>0.91345349355637895</v>
      </c>
      <c r="U108" s="18">
        <v>1.16501836713854E-2</v>
      </c>
      <c r="V108" s="18">
        <v>3.8821260898779797E-2</v>
      </c>
      <c r="W108" s="18">
        <v>4953.3307362145297</v>
      </c>
      <c r="X108" s="18">
        <v>14.5359107436028</v>
      </c>
      <c r="Y108" s="18">
        <v>48.437209171628098</v>
      </c>
      <c r="Z108" s="18">
        <v>7.4222956081140001</v>
      </c>
      <c r="AA108" s="18">
        <v>0.137280162687477</v>
      </c>
      <c r="AB108" s="18">
        <v>0.35041959425251901</v>
      </c>
      <c r="AC108" s="18">
        <v>1778031.1524471201</v>
      </c>
      <c r="AD108" s="18">
        <v>186071.29356534901</v>
      </c>
      <c r="AE108" s="18">
        <v>75.808176072117206</v>
      </c>
      <c r="AF108" s="18">
        <v>3.1857805524827101</v>
      </c>
      <c r="AG108" s="18">
        <v>4.6349038015454398E-5</v>
      </c>
      <c r="AH108" s="18">
        <v>2.0221500638726101E-6</v>
      </c>
      <c r="AI108" s="18">
        <v>223.143635194475</v>
      </c>
      <c r="AJ108" s="18">
        <v>10.053391202120499</v>
      </c>
      <c r="AL108" s="18">
        <v>0.76731264782442699</v>
      </c>
      <c r="AM108" s="18">
        <v>0.384814532282165</v>
      </c>
    </row>
    <row r="109" spans="1:39" x14ac:dyDescent="0.2">
      <c r="A109" s="18" t="s">
        <v>389</v>
      </c>
      <c r="B109" s="18">
        <v>0.136138630104019</v>
      </c>
      <c r="C109" s="18">
        <v>2.36582539399638E-3</v>
      </c>
      <c r="D109" s="18">
        <v>6.5778964521779597E-3</v>
      </c>
      <c r="E109" s="18">
        <v>822.27968867167704</v>
      </c>
      <c r="F109" s="18">
        <v>13.433410844810799</v>
      </c>
      <c r="G109" s="18">
        <v>37.350002988794202</v>
      </c>
      <c r="H109" s="18">
        <v>17.273133255663801</v>
      </c>
      <c r="I109" s="18">
        <v>0.33156167024465699</v>
      </c>
      <c r="J109" s="18">
        <v>1.10057335174839</v>
      </c>
      <c r="K109" s="18">
        <v>2943.9852413725098</v>
      </c>
      <c r="L109" s="18">
        <v>18.535341603175699</v>
      </c>
      <c r="M109" s="18">
        <v>61.525516562140297</v>
      </c>
      <c r="N109" s="18">
        <v>-162810.72474599001</v>
      </c>
      <c r="O109" s="18">
        <v>24447.240215334899</v>
      </c>
      <c r="P109" s="18">
        <v>25077.832155160198</v>
      </c>
      <c r="Q109" s="18">
        <v>105127.358513124</v>
      </c>
      <c r="R109" s="18">
        <v>4434.9672149022899</v>
      </c>
      <c r="S109" s="18">
        <v>4549.3627276257503</v>
      </c>
      <c r="T109" s="18">
        <v>0.92441967541645498</v>
      </c>
      <c r="U109" s="18">
        <v>1.32796515479026E-2</v>
      </c>
      <c r="V109" s="18">
        <v>3.9749729296300398E-2</v>
      </c>
      <c r="W109" s="18">
        <v>4924.5750369956204</v>
      </c>
      <c r="X109" s="18">
        <v>25.442408394616599</v>
      </c>
      <c r="Y109" s="18">
        <v>76.156278851432603</v>
      </c>
      <c r="Z109" s="18">
        <v>7.40090566180415</v>
      </c>
      <c r="AA109" s="18">
        <v>0.12778591796314701</v>
      </c>
      <c r="AB109" s="18">
        <v>0.35529356415783597</v>
      </c>
      <c r="AC109" s="18">
        <v>-510292.04741873598</v>
      </c>
      <c r="AD109" s="18">
        <v>72805.618284005002</v>
      </c>
      <c r="AE109" s="18">
        <v>74.672298166548501</v>
      </c>
      <c r="AF109" s="18">
        <v>3.43701087526903</v>
      </c>
      <c r="AG109" s="18">
        <v>-1.9889175542494499E-4</v>
      </c>
      <c r="AH109" s="18">
        <v>1.5568026115221599E-5</v>
      </c>
      <c r="AI109" s="18">
        <v>217.821996905247</v>
      </c>
      <c r="AJ109" s="18">
        <v>10.8573482571302</v>
      </c>
      <c r="AL109" s="18">
        <v>0.69000214646799496</v>
      </c>
      <c r="AM109" s="18">
        <v>0.34838475260324298</v>
      </c>
    </row>
    <row r="110" spans="1:39" x14ac:dyDescent="0.2">
      <c r="A110" s="18" t="s">
        <v>390</v>
      </c>
      <c r="B110" s="18">
        <v>0.137905991024833</v>
      </c>
      <c r="C110" s="18">
        <v>2.7188750590000301E-3</v>
      </c>
      <c r="D110" s="18">
        <v>6.7847143681657703E-3</v>
      </c>
      <c r="E110" s="18">
        <v>832.138479328313</v>
      </c>
      <c r="F110" s="18">
        <v>15.408925143410301</v>
      </c>
      <c r="G110" s="18">
        <v>38.451621920772403</v>
      </c>
      <c r="H110" s="18">
        <v>17.449395846853399</v>
      </c>
      <c r="I110" s="18">
        <v>0.33589361163778197</v>
      </c>
      <c r="J110" s="18">
        <v>1.1127185411612199</v>
      </c>
      <c r="K110" s="18">
        <v>2955.8337709369198</v>
      </c>
      <c r="L110" s="18">
        <v>18.877313130389801</v>
      </c>
      <c r="M110" s="18">
        <v>62.535087300624703</v>
      </c>
      <c r="N110" s="18">
        <v>-178437.74063659899</v>
      </c>
      <c r="O110" s="18">
        <v>3545.0873237165501</v>
      </c>
      <c r="P110" s="18">
        <v>7077.2499273216499</v>
      </c>
      <c r="Q110" s="18">
        <v>110480.758240892</v>
      </c>
      <c r="R110" s="18">
        <v>6732.5194205303596</v>
      </c>
      <c r="S110" s="18">
        <v>13440.4933443749</v>
      </c>
      <c r="T110" s="18">
        <v>0.927824690848013</v>
      </c>
      <c r="U110" s="18">
        <v>1.5851441989058801E-2</v>
      </c>
      <c r="V110" s="18">
        <v>4.0809370644218197E-2</v>
      </c>
      <c r="W110" s="18">
        <v>4913.8023298238904</v>
      </c>
      <c r="X110" s="18">
        <v>25.823045633363801</v>
      </c>
      <c r="Y110" s="18">
        <v>66.481159325560895</v>
      </c>
      <c r="Z110" s="18">
        <v>7.3249448296606197</v>
      </c>
      <c r="AA110" s="18">
        <v>0.147243281975209</v>
      </c>
      <c r="AB110" s="18">
        <v>0.36743270255327698</v>
      </c>
      <c r="AC110" s="18">
        <v>-547201.98198366701</v>
      </c>
      <c r="AD110" s="18">
        <v>8277.10060871725</v>
      </c>
      <c r="AE110" s="18">
        <v>73.245996359961396</v>
      </c>
      <c r="AF110" s="18">
        <v>3.55749356123092</v>
      </c>
      <c r="AG110" s="18">
        <v>-1.32155078461472E-4</v>
      </c>
      <c r="AH110" s="18">
        <v>5.3988721706737103E-6</v>
      </c>
      <c r="AI110" s="18">
        <v>217.334248580435</v>
      </c>
      <c r="AJ110" s="18">
        <v>10.9714124520822</v>
      </c>
      <c r="AL110" s="18">
        <v>0.64642186906265298</v>
      </c>
      <c r="AM110" s="18">
        <v>0.48807895589484601</v>
      </c>
    </row>
    <row r="111" spans="1:39" x14ac:dyDescent="0.2">
      <c r="A111" s="18" t="s">
        <v>391</v>
      </c>
      <c r="B111" s="18">
        <v>0.13771783125692999</v>
      </c>
      <c r="C111" s="18">
        <v>2.4299658807815801E-3</v>
      </c>
      <c r="D111" s="18">
        <v>6.6661762461578296E-3</v>
      </c>
      <c r="E111" s="18">
        <v>831.20884099334899</v>
      </c>
      <c r="F111" s="18">
        <v>13.7475289256517</v>
      </c>
      <c r="G111" s="18">
        <v>37.713883759582203</v>
      </c>
      <c r="H111" s="18">
        <v>17.649511815275901</v>
      </c>
      <c r="I111" s="18">
        <v>0.32820951308039997</v>
      </c>
      <c r="J111" s="18">
        <v>1.1220198970937301</v>
      </c>
      <c r="K111" s="18">
        <v>2965.0858094375899</v>
      </c>
      <c r="L111" s="18">
        <v>17.893509752524501</v>
      </c>
      <c r="M111" s="18">
        <v>61.170908127379597</v>
      </c>
      <c r="N111" s="18">
        <v>1292188.0527683501</v>
      </c>
      <c r="O111" s="18">
        <v>87040.090069360696</v>
      </c>
      <c r="P111" s="18">
        <v>97689.732859205003</v>
      </c>
      <c r="Q111" s="18">
        <v>285701.52715913497</v>
      </c>
      <c r="R111" s="18">
        <v>807.310008276237</v>
      </c>
      <c r="S111" s="18">
        <v>906.08705689782005</v>
      </c>
      <c r="T111" s="18">
        <v>0.93547574581690396</v>
      </c>
      <c r="U111" s="18">
        <v>1.4208380159017099E-2</v>
      </c>
      <c r="V111" s="18">
        <v>4.0491125977728297E-2</v>
      </c>
      <c r="W111" s="18">
        <v>4944.4167204010701</v>
      </c>
      <c r="X111" s="18">
        <v>23.263524270238602</v>
      </c>
      <c r="Y111" s="18">
        <v>66.296529327754996</v>
      </c>
      <c r="Z111" s="18">
        <v>7.3286774958676899</v>
      </c>
      <c r="AA111" s="18">
        <v>0.129017735879974</v>
      </c>
      <c r="AB111" s="18">
        <v>0.35393705444930601</v>
      </c>
      <c r="AC111" s="18">
        <v>3926022.5014308901</v>
      </c>
      <c r="AD111" s="18">
        <v>238993.221800864</v>
      </c>
      <c r="AE111" s="18">
        <v>72.977133486157101</v>
      </c>
      <c r="AF111" s="18">
        <v>3.3545249851555501</v>
      </c>
      <c r="AG111" s="18">
        <v>1.6717667640334401E-5</v>
      </c>
      <c r="AH111" s="18">
        <v>5.4007284759385395E-7</v>
      </c>
      <c r="AI111" s="18">
        <v>216.36673207760501</v>
      </c>
      <c r="AJ111" s="18">
        <v>10.776094723853999</v>
      </c>
      <c r="AL111" s="18">
        <v>0.65782597793126796</v>
      </c>
      <c r="AM111" s="18">
        <v>0.41024567625987701</v>
      </c>
    </row>
    <row r="112" spans="1:39" x14ac:dyDescent="0.2">
      <c r="A112" s="18" t="s">
        <v>392</v>
      </c>
      <c r="B112" s="18">
        <v>0.13959821883628301</v>
      </c>
      <c r="C112" s="18">
        <v>2.91248087267611E-3</v>
      </c>
      <c r="D112" s="18">
        <v>6.9335981117412604E-3</v>
      </c>
      <c r="E112" s="18">
        <v>841.62334868095604</v>
      </c>
      <c r="F112" s="18">
        <v>16.448077439415901</v>
      </c>
      <c r="G112" s="18">
        <v>39.157118505269104</v>
      </c>
      <c r="H112" s="18">
        <v>17.564962143789899</v>
      </c>
      <c r="I112" s="18">
        <v>0.34853971451127702</v>
      </c>
      <c r="J112" s="18">
        <v>1.1232094837219799</v>
      </c>
      <c r="K112" s="18">
        <v>2959.8136767053602</v>
      </c>
      <c r="L112" s="18">
        <v>18.792115506303301</v>
      </c>
      <c r="M112" s="18">
        <v>60.559762566729802</v>
      </c>
      <c r="N112" s="18">
        <v>1399521.36591579</v>
      </c>
      <c r="O112" s="18">
        <v>248299.65457039801</v>
      </c>
      <c r="P112" s="18">
        <v>252903.78532061601</v>
      </c>
      <c r="Q112" s="18">
        <v>275661.77998980897</v>
      </c>
      <c r="R112" s="18">
        <v>5535.9342293134896</v>
      </c>
      <c r="S112" s="18">
        <v>5638.5850568406904</v>
      </c>
      <c r="T112" s="18">
        <v>0.91971099042742399</v>
      </c>
      <c r="U112" s="18">
        <v>1.38302422598968E-2</v>
      </c>
      <c r="V112" s="18">
        <v>3.9759470529077301E-2</v>
      </c>
      <c r="W112" s="18">
        <v>4930.5827147646296</v>
      </c>
      <c r="X112" s="18">
        <v>24.204693971150601</v>
      </c>
      <c r="Y112" s="18">
        <v>69.584161905959206</v>
      </c>
      <c r="Z112" s="18">
        <v>7.2624439977978303</v>
      </c>
      <c r="AA112" s="18">
        <v>0.15150614578694599</v>
      </c>
      <c r="AB112" s="18">
        <v>0.36068313313259198</v>
      </c>
      <c r="AC112" s="18">
        <v>4162517.9597704299</v>
      </c>
      <c r="AD112" s="18">
        <v>710953.198870425</v>
      </c>
      <c r="AE112" s="18">
        <v>74.6057082285338</v>
      </c>
      <c r="AF112" s="18">
        <v>3.3627573298863598</v>
      </c>
      <c r="AG112" s="18">
        <v>2.5888661258068E-5</v>
      </c>
      <c r="AH112" s="18">
        <v>2.3141480841731898E-6</v>
      </c>
      <c r="AI112" s="18">
        <v>220.34380012262699</v>
      </c>
      <c r="AJ112" s="18">
        <v>11.2206859345171</v>
      </c>
      <c r="AL112" s="18">
        <v>0.73943416798414496</v>
      </c>
      <c r="AM112" s="18">
        <v>0.49529954499901202</v>
      </c>
    </row>
    <row r="113" spans="1:39" x14ac:dyDescent="0.2">
      <c r="A113" s="18" t="s">
        <v>393</v>
      </c>
      <c r="B113" s="18">
        <v>0.13862536133533401</v>
      </c>
      <c r="C113" s="18">
        <v>3.15159847163343E-3</v>
      </c>
      <c r="D113" s="18">
        <v>6.99764986257328E-3</v>
      </c>
      <c r="E113" s="18">
        <v>835.98718407427896</v>
      </c>
      <c r="F113" s="18">
        <v>17.784097955400501</v>
      </c>
      <c r="G113" s="18">
        <v>39.4869117159773</v>
      </c>
      <c r="H113" s="18">
        <v>17.488250859459299</v>
      </c>
      <c r="I113" s="18">
        <v>0.43444312984067701</v>
      </c>
      <c r="J113" s="18">
        <v>1.14857280144953</v>
      </c>
      <c r="K113" s="18">
        <v>2951.9994257499302</v>
      </c>
      <c r="L113" s="18">
        <v>23.502963415945398</v>
      </c>
      <c r="M113" s="18">
        <v>62.136704849995297</v>
      </c>
      <c r="N113" s="18">
        <v>-130512621.833865</v>
      </c>
      <c r="O113" s="18">
        <v>23429537.601840399</v>
      </c>
      <c r="P113" s="18">
        <v>23853961.851439402</v>
      </c>
      <c r="Q113" s="18">
        <v>111148.45846164</v>
      </c>
      <c r="R113" s="18">
        <v>3564.6109779569701</v>
      </c>
      <c r="S113" s="18">
        <v>3629.1836283072198</v>
      </c>
      <c r="T113" s="18">
        <v>0.91246993961588097</v>
      </c>
      <c r="U113" s="18">
        <v>1.42950476538232E-2</v>
      </c>
      <c r="V113" s="18">
        <v>3.9650428972655298E-2</v>
      </c>
      <c r="W113" s="18">
        <v>4880.0549516640303</v>
      </c>
      <c r="X113" s="18">
        <v>42.792994705824398</v>
      </c>
      <c r="Y113" s="18">
        <v>118.695693655607</v>
      </c>
      <c r="Z113" s="18">
        <v>7.31725658637684</v>
      </c>
      <c r="AA113" s="18">
        <v>0.16242401863306999</v>
      </c>
      <c r="AB113" s="18">
        <v>0.36063807680336502</v>
      </c>
      <c r="AC113" s="18">
        <v>-402377607.07202399</v>
      </c>
      <c r="AD113" s="18">
        <v>65352297.383995198</v>
      </c>
      <c r="AE113" s="18">
        <v>72.011268013032307</v>
      </c>
      <c r="AF113" s="18">
        <v>3.2151111516851101</v>
      </c>
      <c r="AG113" s="18">
        <v>9.6461459468916797E-3</v>
      </c>
      <c r="AH113" s="18">
        <v>5.1071849973004001E-3</v>
      </c>
      <c r="AI113" s="18">
        <v>214.01223599707899</v>
      </c>
      <c r="AJ113" s="18">
        <v>11.6284835158325</v>
      </c>
      <c r="AL113" s="18">
        <v>0.77448783807009403</v>
      </c>
      <c r="AM113" s="18">
        <v>0.30148231936249797</v>
      </c>
    </row>
    <row r="114" spans="1:39" x14ac:dyDescent="0.2">
      <c r="A114" s="18" t="s">
        <v>394</v>
      </c>
      <c r="B114" s="18">
        <v>0.13617546892053001</v>
      </c>
      <c r="C114" s="18">
        <v>3.1580364136658901E-3</v>
      </c>
      <c r="D114" s="18">
        <v>6.9021383791633296E-3</v>
      </c>
      <c r="E114" s="18">
        <v>822.09149102196602</v>
      </c>
      <c r="F114" s="18">
        <v>17.902279454371701</v>
      </c>
      <c r="G114" s="18">
        <v>39.126847797518401</v>
      </c>
      <c r="H114" s="18">
        <v>17.288114918900501</v>
      </c>
      <c r="I114" s="18">
        <v>0.382016097466086</v>
      </c>
      <c r="J114" s="18">
        <v>1.1184270091947499</v>
      </c>
      <c r="K114" s="18">
        <v>2945.5675726927302</v>
      </c>
      <c r="L114" s="18">
        <v>21.674199435065098</v>
      </c>
      <c r="M114" s="18">
        <v>63.455467483284203</v>
      </c>
      <c r="N114" s="18">
        <v>22527349.624739401</v>
      </c>
      <c r="O114" s="18">
        <v>2867580.3784726802</v>
      </c>
      <c r="P114" s="18">
        <v>2970004.0524796201</v>
      </c>
      <c r="Q114" s="18">
        <v>339371.75969086197</v>
      </c>
      <c r="R114" s="18">
        <v>2347.7708071213301</v>
      </c>
      <c r="S114" s="18">
        <v>2431.6280247243099</v>
      </c>
      <c r="T114" s="18">
        <v>0.92493269140058698</v>
      </c>
      <c r="U114" s="18">
        <v>1.46240754453003E-2</v>
      </c>
      <c r="V114" s="18">
        <v>4.0237070148412102E-2</v>
      </c>
      <c r="W114" s="18">
        <v>4927.5458720232</v>
      </c>
      <c r="X114" s="18">
        <v>23.4767834366844</v>
      </c>
      <c r="Y114" s="18">
        <v>64.594646378450093</v>
      </c>
      <c r="Z114" s="18">
        <v>7.4598027428002203</v>
      </c>
      <c r="AA114" s="18">
        <v>0.175664882114974</v>
      </c>
      <c r="AB114" s="18">
        <v>0.38392949475510402</v>
      </c>
      <c r="AC114" s="18">
        <v>69055744.902473003</v>
      </c>
      <c r="AD114" s="18">
        <v>7655225.6887850501</v>
      </c>
      <c r="AE114" s="18">
        <v>73.309845351420293</v>
      </c>
      <c r="AF114" s="18">
        <v>3.0538412727695801</v>
      </c>
      <c r="AG114" s="18">
        <v>1.1673910302303799E-6</v>
      </c>
      <c r="AH114" s="18">
        <v>6.1622291730469505E-8</v>
      </c>
      <c r="AI114" s="18">
        <v>217.15999415720199</v>
      </c>
      <c r="AJ114" s="18">
        <v>11.3737810527959</v>
      </c>
      <c r="AL114" s="18">
        <v>0.75940187483660604</v>
      </c>
      <c r="AM114" s="18">
        <v>0.44249021572983699</v>
      </c>
    </row>
    <row r="115" spans="1:39" x14ac:dyDescent="0.2">
      <c r="A115" s="18" t="s">
        <v>395</v>
      </c>
      <c r="B115" s="18">
        <v>0.135475541092406</v>
      </c>
      <c r="C115" s="18">
        <v>3.0562801049307002E-3</v>
      </c>
      <c r="D115" s="18">
        <v>6.8279106190424904E-3</v>
      </c>
      <c r="E115" s="18">
        <v>818.18289501528602</v>
      </c>
      <c r="F115" s="18">
        <v>17.312791692104501</v>
      </c>
      <c r="G115" s="18">
        <v>38.677801177019902</v>
      </c>
      <c r="H115" s="18">
        <v>17.340642329651601</v>
      </c>
      <c r="I115" s="18">
        <v>0.37849752076188098</v>
      </c>
      <c r="J115" s="18">
        <v>1.1203211528914201</v>
      </c>
      <c r="K115" s="18">
        <v>2946.1727238532999</v>
      </c>
      <c r="L115" s="18">
        <v>20.6939104050367</v>
      </c>
      <c r="M115" s="18">
        <v>61.252252104942599</v>
      </c>
      <c r="N115" s="18">
        <v>-5341400.7758381302</v>
      </c>
      <c r="O115" s="18">
        <v>774850.32021156105</v>
      </c>
      <c r="P115" s="18">
        <v>796245.52668845595</v>
      </c>
      <c r="Q115" s="18">
        <v>114839.423584715</v>
      </c>
      <c r="R115" s="18">
        <v>1441.7761090261499</v>
      </c>
      <c r="S115" s="18">
        <v>1481.5865043263</v>
      </c>
      <c r="T115" s="18">
        <v>0.928112204379968</v>
      </c>
      <c r="U115" s="18">
        <v>1.20563781079385E-2</v>
      </c>
      <c r="V115" s="18">
        <v>3.95005211159946E-2</v>
      </c>
      <c r="W115" s="18">
        <v>4953.3258688454898</v>
      </c>
      <c r="X115" s="18">
        <v>16.972073304861699</v>
      </c>
      <c r="Y115" s="18">
        <v>55.605898716752399</v>
      </c>
      <c r="Z115" s="18">
        <v>7.4862237662445104</v>
      </c>
      <c r="AA115" s="18">
        <v>0.16858647805464999</v>
      </c>
      <c r="AB115" s="18">
        <v>0.37663216858928</v>
      </c>
      <c r="AC115" s="18">
        <v>-16201568.285895601</v>
      </c>
      <c r="AD115" s="18">
        <v>2135684.4048574502</v>
      </c>
      <c r="AE115" s="18">
        <v>73.376120216640601</v>
      </c>
      <c r="AF115" s="18">
        <v>3.1762087523460498</v>
      </c>
      <c r="AG115" s="18">
        <v>-5.8310479871376702E-6</v>
      </c>
      <c r="AH115" s="18">
        <v>4.1445909125215203E-7</v>
      </c>
      <c r="AI115" s="18">
        <v>216.94719819999</v>
      </c>
      <c r="AJ115" s="18">
        <v>11.0381809585711</v>
      </c>
      <c r="AL115" s="18">
        <v>0.83053169921485803</v>
      </c>
      <c r="AM115" s="18">
        <v>0.42318417379384299</v>
      </c>
    </row>
    <row r="116" spans="1:39" x14ac:dyDescent="0.2">
      <c r="A116" s="18" t="s">
        <v>396</v>
      </c>
      <c r="B116" s="18">
        <v>0.139377254686087</v>
      </c>
      <c r="C116" s="18">
        <v>2.70199472013444E-3</v>
      </c>
      <c r="D116" s="18">
        <v>6.8379946692373903E-3</v>
      </c>
      <c r="E116" s="18">
        <v>840.47874403649803</v>
      </c>
      <c r="F116" s="18">
        <v>15.2815076478447</v>
      </c>
      <c r="G116" s="18">
        <v>38.673231688873599</v>
      </c>
      <c r="H116" s="18">
        <v>17.153763087854401</v>
      </c>
      <c r="I116" s="18">
        <v>0.37064185833487101</v>
      </c>
      <c r="J116" s="18">
        <v>1.10687940610693</v>
      </c>
      <c r="K116" s="18">
        <v>2938.2737622518998</v>
      </c>
      <c r="L116" s="18">
        <v>21.462107860633999</v>
      </c>
      <c r="M116" s="18">
        <v>64.094123932214202</v>
      </c>
      <c r="N116" s="18">
        <v>9341167.4055287708</v>
      </c>
      <c r="O116" s="18">
        <v>1111256.8187174699</v>
      </c>
      <c r="P116" s="18">
        <v>1156588.79282294</v>
      </c>
      <c r="Q116" s="18">
        <v>322155.87842530297</v>
      </c>
      <c r="R116" s="18">
        <v>2060.1306983182099</v>
      </c>
      <c r="S116" s="18">
        <v>2144.1704899280498</v>
      </c>
      <c r="T116" s="18">
        <v>0.88827869207358801</v>
      </c>
      <c r="U116" s="18">
        <v>1.39931536117765E-2</v>
      </c>
      <c r="V116" s="18">
        <v>3.8628994438081203E-2</v>
      </c>
      <c r="W116" s="18">
        <v>4910.8387968223597</v>
      </c>
      <c r="X116" s="18">
        <v>23.887774017267098</v>
      </c>
      <c r="Y116" s="18">
        <v>65.943726142945096</v>
      </c>
      <c r="Z116" s="18">
        <v>7.2404569121581499</v>
      </c>
      <c r="AA116" s="18">
        <v>0.14300073538521599</v>
      </c>
      <c r="AB116" s="18">
        <v>0.36189495818573703</v>
      </c>
      <c r="AC116" s="18">
        <v>28145633.692000601</v>
      </c>
      <c r="AD116" s="18">
        <v>3071215.4015585198</v>
      </c>
      <c r="AE116" s="18">
        <v>72.936481235841001</v>
      </c>
      <c r="AF116" s="18">
        <v>3.2977286467218798</v>
      </c>
      <c r="AG116" s="18">
        <v>2.7369456972487199E-6</v>
      </c>
      <c r="AH116" s="18">
        <v>1.1385920317687701E-7</v>
      </c>
      <c r="AI116" s="18">
        <v>217.26039419376801</v>
      </c>
      <c r="AJ116" s="18">
        <v>11.215704719807899</v>
      </c>
      <c r="AL116" s="18">
        <v>0.66500484094336798</v>
      </c>
      <c r="AM116" s="18">
        <v>0.30127950803456399</v>
      </c>
    </row>
    <row r="117" spans="1:39" x14ac:dyDescent="0.2">
      <c r="A117" s="18" t="s">
        <v>397</v>
      </c>
      <c r="B117" s="18">
        <v>0.13574640071041999</v>
      </c>
      <c r="C117" s="18">
        <v>3.15970196841283E-3</v>
      </c>
      <c r="D117" s="18">
        <v>6.8857241564018101E-3</v>
      </c>
      <c r="E117" s="18">
        <v>819.65513741962798</v>
      </c>
      <c r="F117" s="18">
        <v>17.915805003143401</v>
      </c>
      <c r="G117" s="18">
        <v>39.042698496496499</v>
      </c>
      <c r="H117" s="18">
        <v>16.995537006927599</v>
      </c>
      <c r="I117" s="18">
        <v>0.38901212440156102</v>
      </c>
      <c r="J117" s="18">
        <v>1.1040943654731901</v>
      </c>
      <c r="K117" s="18">
        <v>2928.3052890202098</v>
      </c>
      <c r="L117" s="18">
        <v>22.778336004135198</v>
      </c>
      <c r="M117" s="18">
        <v>64.649482264105799</v>
      </c>
      <c r="N117" s="18">
        <v>-2997211.87318784</v>
      </c>
      <c r="O117" s="18">
        <v>391697.81218783697</v>
      </c>
      <c r="P117" s="18">
        <v>404982.83331175603</v>
      </c>
      <c r="Q117" s="18">
        <v>107723.783389251</v>
      </c>
      <c r="R117" s="18">
        <v>4895.1199778693599</v>
      </c>
      <c r="S117" s="18">
        <v>5061.14534305299</v>
      </c>
      <c r="T117" s="18">
        <v>0.90818300318873602</v>
      </c>
      <c r="U117" s="18">
        <v>1.42885578062989E-2</v>
      </c>
      <c r="V117" s="18">
        <v>3.9486610565343097E-2</v>
      </c>
      <c r="W117" s="18">
        <v>4914.3300266820297</v>
      </c>
      <c r="X117" s="18">
        <v>22.544025165109598</v>
      </c>
      <c r="Y117" s="18">
        <v>62.300699226450597</v>
      </c>
      <c r="Z117" s="18">
        <v>7.4803846484042102</v>
      </c>
      <c r="AA117" s="18">
        <v>0.17829359818548701</v>
      </c>
      <c r="AB117" s="18">
        <v>0.38854314369854698</v>
      </c>
      <c r="AC117" s="18">
        <v>-9166980.3793760091</v>
      </c>
      <c r="AD117" s="18">
        <v>1100089.7120028599</v>
      </c>
      <c r="AE117" s="18">
        <v>71.658326325694304</v>
      </c>
      <c r="AF117" s="18">
        <v>3.2503701018974902</v>
      </c>
      <c r="AG117" s="18">
        <v>-8.2417138755501308E-6</v>
      </c>
      <c r="AH117" s="18">
        <v>4.1745937191198002E-7</v>
      </c>
      <c r="AI117" s="18">
        <v>212.129386783294</v>
      </c>
      <c r="AJ117" s="18">
        <v>11.2773607644189</v>
      </c>
      <c r="AL117" s="18">
        <v>0.77596150661579599</v>
      </c>
      <c r="AM117" s="18">
        <v>0.39115058770108602</v>
      </c>
    </row>
    <row r="118" spans="1:39" x14ac:dyDescent="0.2">
      <c r="A118" s="18" t="s">
        <v>398</v>
      </c>
      <c r="B118" s="18">
        <v>0.13529699417114499</v>
      </c>
      <c r="C118" s="18">
        <v>2.6999704849174802E-3</v>
      </c>
      <c r="D118" s="18">
        <v>6.6685878389818E-3</v>
      </c>
      <c r="E118" s="18">
        <v>817.34894626186099</v>
      </c>
      <c r="F118" s="18">
        <v>15.3100676383854</v>
      </c>
      <c r="G118" s="18">
        <v>37.813943314438099</v>
      </c>
      <c r="H118" s="18">
        <v>16.938402522369302</v>
      </c>
      <c r="I118" s="18">
        <v>0.34556518852710599</v>
      </c>
      <c r="J118" s="18">
        <v>1.0861832981836099</v>
      </c>
      <c r="K118" s="18">
        <v>2924.4619347707699</v>
      </c>
      <c r="L118" s="18">
        <v>19.6143261073974</v>
      </c>
      <c r="M118" s="18">
        <v>61.651908613215603</v>
      </c>
      <c r="N118" s="18">
        <v>755387.13095977099</v>
      </c>
      <c r="O118" s="18">
        <v>119489.318078421</v>
      </c>
      <c r="P118" s="18">
        <v>122270.070679054</v>
      </c>
      <c r="Q118" s="18">
        <v>269546.43252268102</v>
      </c>
      <c r="R118" s="18">
        <v>2867.4011345878898</v>
      </c>
      <c r="S118" s="18">
        <v>2934.13122636754</v>
      </c>
      <c r="T118" s="18">
        <v>0.90732402121002498</v>
      </c>
      <c r="U118" s="18">
        <v>1.4898511952921301E-2</v>
      </c>
      <c r="V118" s="18">
        <v>3.96791320428629E-2</v>
      </c>
      <c r="W118" s="18">
        <v>4923.6751353298396</v>
      </c>
      <c r="X118" s="18">
        <v>20.252720058704899</v>
      </c>
      <c r="Y118" s="18">
        <v>53.938967594607199</v>
      </c>
      <c r="Z118" s="18">
        <v>7.4635922479418699</v>
      </c>
      <c r="AA118" s="18">
        <v>0.14969211665482199</v>
      </c>
      <c r="AB118" s="18">
        <v>0.369720718908635</v>
      </c>
      <c r="AC118" s="18">
        <v>2328036.37519078</v>
      </c>
      <c r="AD118" s="18">
        <v>346424.72302986</v>
      </c>
      <c r="AE118" s="18">
        <v>72.872368698465294</v>
      </c>
      <c r="AF118" s="18">
        <v>3.5165678693047799</v>
      </c>
      <c r="AG118" s="18">
        <v>3.91148182226917E-5</v>
      </c>
      <c r="AH118" s="18">
        <v>2.8520954524701598E-6</v>
      </c>
      <c r="AI118" s="18">
        <v>212.556771264725</v>
      </c>
      <c r="AJ118" s="18">
        <v>11.447163364052599</v>
      </c>
      <c r="AL118" s="18">
        <v>0.67043635972784199</v>
      </c>
      <c r="AM118" s="18">
        <v>0.423023917504947</v>
      </c>
    </row>
    <row r="119" spans="1:39" x14ac:dyDescent="0.2">
      <c r="A119" s="18" t="s">
        <v>399</v>
      </c>
      <c r="B119" s="18">
        <v>0.138363045045415</v>
      </c>
      <c r="C119" s="18">
        <v>2.6978803452421501E-3</v>
      </c>
      <c r="D119" s="18">
        <v>6.7941222548914201E-3</v>
      </c>
      <c r="E119" s="18">
        <v>836.69356446818301</v>
      </c>
      <c r="F119" s="18">
        <v>15.6992666310808</v>
      </c>
      <c r="G119" s="18">
        <v>39.535755168610699</v>
      </c>
      <c r="H119" s="18">
        <v>17.660756851717501</v>
      </c>
      <c r="I119" s="18">
        <v>0.393776562559148</v>
      </c>
      <c r="J119" s="18">
        <v>1.1431787817322201</v>
      </c>
      <c r="K119" s="18">
        <v>2963.2076554433902</v>
      </c>
      <c r="L119" s="18">
        <v>21.4126545189288</v>
      </c>
      <c r="M119" s="18">
        <v>62.163405936393602</v>
      </c>
      <c r="N119" s="18">
        <v>5114184.3608555002</v>
      </c>
      <c r="O119" s="18">
        <v>549994.81458978902</v>
      </c>
      <c r="P119" s="18">
        <v>577330.11223069299</v>
      </c>
      <c r="Q119" s="18">
        <v>310954.77361323201</v>
      </c>
      <c r="R119" s="18">
        <v>1824.4373944581801</v>
      </c>
      <c r="S119" s="18">
        <v>1915.1137751835299</v>
      </c>
      <c r="T119" s="18">
        <v>0.91955596440729204</v>
      </c>
      <c r="U119" s="18">
        <v>1.3703311122760201E-2</v>
      </c>
      <c r="V119" s="18">
        <v>3.9713669696176998E-2</v>
      </c>
      <c r="W119" s="18">
        <v>4941.3312673058499</v>
      </c>
      <c r="X119" s="18">
        <v>26.521341494927999</v>
      </c>
      <c r="Y119" s="18">
        <v>76.861700547665293</v>
      </c>
      <c r="Z119" s="18">
        <v>7.28360026507778</v>
      </c>
      <c r="AA119" s="18">
        <v>0.14495269344148301</v>
      </c>
      <c r="AB119" s="18">
        <v>0.36503706406180098</v>
      </c>
      <c r="AC119" s="18">
        <v>15313607.430942301</v>
      </c>
      <c r="AD119" s="18">
        <v>1476406.1061465701</v>
      </c>
      <c r="AE119" s="18">
        <v>72.041513583647799</v>
      </c>
      <c r="AF119" s="18">
        <v>3.3409460112709999</v>
      </c>
      <c r="AG119" s="18">
        <v>4.8208235510980797E-6</v>
      </c>
      <c r="AH119" s="18">
        <v>1.4515100795448199E-7</v>
      </c>
      <c r="AI119" s="18">
        <v>213.72489171307399</v>
      </c>
      <c r="AJ119" s="18">
        <v>11.303907028323801</v>
      </c>
      <c r="AL119" s="18">
        <v>0.74138379206943805</v>
      </c>
      <c r="AM119" s="18">
        <v>0.29840399773989401</v>
      </c>
    </row>
    <row r="120" spans="1:39" x14ac:dyDescent="0.2">
      <c r="A120" s="18" t="s">
        <v>400</v>
      </c>
      <c r="B120" s="18">
        <v>0.14043529675970501</v>
      </c>
      <c r="C120" s="18">
        <v>2.6813515779271998E-3</v>
      </c>
      <c r="D120" s="18">
        <v>6.87367657715208E-3</v>
      </c>
      <c r="E120" s="18">
        <v>846.47247021692897</v>
      </c>
      <c r="F120" s="18">
        <v>15.168700985951499</v>
      </c>
      <c r="G120" s="18">
        <v>38.8851449139541</v>
      </c>
      <c r="H120" s="18">
        <v>17.883910202431199</v>
      </c>
      <c r="I120" s="18">
        <v>0.35250798618287099</v>
      </c>
      <c r="J120" s="18">
        <v>1.14262439261348</v>
      </c>
      <c r="K120" s="18">
        <v>2976.9767509677399</v>
      </c>
      <c r="L120" s="18">
        <v>19.1424582549209</v>
      </c>
      <c r="M120" s="18">
        <v>62.048636042279398</v>
      </c>
      <c r="N120" s="18">
        <v>-3010744.2363763498</v>
      </c>
      <c r="O120" s="18">
        <v>389605.939599203</v>
      </c>
      <c r="P120" s="18">
        <v>403078.81024217</v>
      </c>
      <c r="Q120" s="18">
        <v>101305.072882487</v>
      </c>
      <c r="R120" s="18">
        <v>5258.8606266215702</v>
      </c>
      <c r="S120" s="18">
        <v>5440.7160393618096</v>
      </c>
      <c r="T120" s="18">
        <v>0.92053811294777599</v>
      </c>
      <c r="U120" s="18">
        <v>1.53699448104815E-2</v>
      </c>
      <c r="V120" s="18">
        <v>4.0355793930265602E-2</v>
      </c>
      <c r="W120" s="18">
        <v>4906.0308216992898</v>
      </c>
      <c r="X120" s="18">
        <v>32.5960812524497</v>
      </c>
      <c r="Y120" s="18">
        <v>85.585260986818497</v>
      </c>
      <c r="Z120" s="18">
        <v>7.1892324885024799</v>
      </c>
      <c r="AA120" s="18">
        <v>0.14218618876516301</v>
      </c>
      <c r="AB120" s="18">
        <v>0.36449598156208601</v>
      </c>
      <c r="AC120" s="18">
        <v>-8650037.3803127501</v>
      </c>
      <c r="AD120" s="18">
        <v>1037846.08566668</v>
      </c>
      <c r="AE120" s="18">
        <v>71.294157583311303</v>
      </c>
      <c r="AF120" s="18">
        <v>3.6454029085503601</v>
      </c>
      <c r="AG120" s="18">
        <v>-9.7858014243208701E-6</v>
      </c>
      <c r="AH120" s="18">
        <v>4.8568952986978403E-7</v>
      </c>
      <c r="AI120" s="18">
        <v>218.47503963835501</v>
      </c>
      <c r="AJ120" s="18">
        <v>11.9165303417939</v>
      </c>
      <c r="AL120" s="18">
        <v>0.54788880403839602</v>
      </c>
      <c r="AM120" s="18">
        <v>0.51107619864709597</v>
      </c>
    </row>
    <row r="121" spans="1:39" x14ac:dyDescent="0.2">
      <c r="A121" s="18" t="s">
        <v>401</v>
      </c>
      <c r="B121" s="18">
        <v>0.138688253306994</v>
      </c>
      <c r="C121" s="18">
        <v>2.7167699305710299E-3</v>
      </c>
      <c r="D121" s="18">
        <v>6.8152802197781097E-3</v>
      </c>
      <c r="E121" s="18">
        <v>836.57202345752705</v>
      </c>
      <c r="F121" s="18">
        <v>15.362101028689001</v>
      </c>
      <c r="G121" s="18">
        <v>38.537316721939298</v>
      </c>
      <c r="H121" s="18">
        <v>17.5761947551979</v>
      </c>
      <c r="I121" s="18">
        <v>0.351309310658031</v>
      </c>
      <c r="J121" s="18">
        <v>1.1244858251005401</v>
      </c>
      <c r="K121" s="18">
        <v>2960.17285146329</v>
      </c>
      <c r="L121" s="18">
        <v>19.289140978030002</v>
      </c>
      <c r="M121" s="18">
        <v>61.741505135553602</v>
      </c>
      <c r="N121" s="18">
        <v>694959.43001874699</v>
      </c>
      <c r="O121" s="18">
        <v>97636.120287913101</v>
      </c>
      <c r="P121" s="18">
        <v>100507.868896505</v>
      </c>
      <c r="Q121" s="18">
        <v>267453.41962166398</v>
      </c>
      <c r="R121" s="18">
        <v>2755.5016944826798</v>
      </c>
      <c r="S121" s="18">
        <v>2836.5486280741402</v>
      </c>
      <c r="T121" s="18">
        <v>0.91826742796370997</v>
      </c>
      <c r="U121" s="18">
        <v>1.3975088777701501E-2</v>
      </c>
      <c r="V121" s="18">
        <v>3.9757699431528501E-2</v>
      </c>
      <c r="W121" s="18">
        <v>4915.5308409424197</v>
      </c>
      <c r="X121" s="18">
        <v>28.900893231843401</v>
      </c>
      <c r="Y121" s="18">
        <v>82.220087807078201</v>
      </c>
      <c r="Z121" s="18">
        <v>7.2507277727261696</v>
      </c>
      <c r="AA121" s="18">
        <v>0.14993357441760999</v>
      </c>
      <c r="AB121" s="18">
        <v>0.37612287757991603</v>
      </c>
      <c r="AC121" s="18">
        <v>2090143.1877934199</v>
      </c>
      <c r="AD121" s="18">
        <v>278059.22459947102</v>
      </c>
      <c r="AE121" s="18">
        <v>72.143278358265405</v>
      </c>
      <c r="AF121" s="18">
        <v>3.4870579752248201</v>
      </c>
      <c r="AG121" s="18">
        <v>4.4871928454893999E-5</v>
      </c>
      <c r="AH121" s="18">
        <v>3.13767318997308E-6</v>
      </c>
      <c r="AI121" s="18">
        <v>215.905757726308</v>
      </c>
      <c r="AJ121" s="18">
        <v>11.217904136170899</v>
      </c>
      <c r="AL121" s="18">
        <v>0.73232652527894804</v>
      </c>
      <c r="AM121" s="18">
        <v>0.40002722393261397</v>
      </c>
    </row>
    <row r="122" spans="1:39" x14ac:dyDescent="0.2">
      <c r="A122" s="18" t="s">
        <v>402</v>
      </c>
      <c r="B122" s="18">
        <v>0.142166095507163</v>
      </c>
      <c r="C122" s="18">
        <v>2.7701977475184398E-3</v>
      </c>
      <c r="D122" s="18">
        <v>6.9804802215553399E-3</v>
      </c>
      <c r="E122" s="18">
        <v>856.21341438266597</v>
      </c>
      <c r="F122" s="18">
        <v>15.6151208998589</v>
      </c>
      <c r="G122" s="18">
        <v>39.347747898612702</v>
      </c>
      <c r="H122" s="18">
        <v>17.788391376101501</v>
      </c>
      <c r="I122" s="18">
        <v>0.34619275491478502</v>
      </c>
      <c r="J122" s="18">
        <v>1.1355177404725201</v>
      </c>
      <c r="K122" s="18">
        <v>2972.0857635538</v>
      </c>
      <c r="L122" s="18">
        <v>18.788675347691601</v>
      </c>
      <c r="M122" s="18">
        <v>61.627153874245899</v>
      </c>
      <c r="N122" s="18">
        <v>-356192.24623242603</v>
      </c>
      <c r="O122" s="18">
        <v>57950.271762635602</v>
      </c>
      <c r="P122" s="18">
        <v>59225.928996855699</v>
      </c>
      <c r="Q122" s="18">
        <v>108248.50780152201</v>
      </c>
      <c r="R122" s="18">
        <v>5678.3774018587001</v>
      </c>
      <c r="S122" s="18">
        <v>5803.3753180200501</v>
      </c>
      <c r="T122" s="18">
        <v>0.90656774351372504</v>
      </c>
      <c r="U122" s="18">
        <v>1.2668678275671899E-2</v>
      </c>
      <c r="V122" s="18">
        <v>3.88691707957022E-2</v>
      </c>
      <c r="W122" s="18">
        <v>4935.2221756791196</v>
      </c>
      <c r="X122" s="18">
        <v>20.281713879983101</v>
      </c>
      <c r="Y122" s="18">
        <v>62.226965092679798</v>
      </c>
      <c r="Z122" s="18">
        <v>7.0883015053924003</v>
      </c>
      <c r="AA122" s="18">
        <v>0.13481274615483799</v>
      </c>
      <c r="AB122" s="18">
        <v>0.339707773205149</v>
      </c>
      <c r="AC122" s="18">
        <v>-1040109.77781211</v>
      </c>
      <c r="AD122" s="18">
        <v>154547.77878350799</v>
      </c>
      <c r="AE122" s="18">
        <v>70.278892259073601</v>
      </c>
      <c r="AF122" s="18">
        <v>3.1826339847165999</v>
      </c>
      <c r="AG122" s="18">
        <v>-8.9802044299106204E-5</v>
      </c>
      <c r="AH122" s="18">
        <v>7.2818098390846102E-6</v>
      </c>
      <c r="AI122" s="18">
        <v>214.715256292699</v>
      </c>
      <c r="AJ122" s="18">
        <v>11.1892375317539</v>
      </c>
      <c r="AL122" s="18">
        <v>0.72970745586475705</v>
      </c>
      <c r="AM122" s="18">
        <v>0.41723168128277999</v>
      </c>
    </row>
    <row r="123" spans="1:39" x14ac:dyDescent="0.2">
      <c r="A123" s="18" t="s">
        <v>403</v>
      </c>
      <c r="B123" s="18">
        <v>0.13948421386039001</v>
      </c>
      <c r="C123" s="18">
        <v>2.55943157230955E-3</v>
      </c>
      <c r="D123" s="18">
        <v>6.7875564037211903E-3</v>
      </c>
      <c r="E123" s="18">
        <v>842.97741846176098</v>
      </c>
      <c r="F123" s="18">
        <v>14.8780549093531</v>
      </c>
      <c r="G123" s="18">
        <v>39.456275357175898</v>
      </c>
      <c r="H123" s="18">
        <v>17.412907742584601</v>
      </c>
      <c r="I123" s="18">
        <v>0.34506915656725201</v>
      </c>
      <c r="J123" s="18">
        <v>1.11337222772168</v>
      </c>
      <c r="K123" s="18">
        <v>2951.2973054501199</v>
      </c>
      <c r="L123" s="18">
        <v>19.1814101202865</v>
      </c>
      <c r="M123" s="18">
        <v>61.8891862979482</v>
      </c>
      <c r="N123" s="18">
        <v>-122909.997705011</v>
      </c>
      <c r="O123" s="18">
        <v>3295.7587494880099</v>
      </c>
      <c r="P123" s="18">
        <v>5353.9308326972396</v>
      </c>
      <c r="Q123" s="18">
        <v>106795.570394571</v>
      </c>
      <c r="R123" s="18">
        <v>11332.8597567497</v>
      </c>
      <c r="S123" s="18">
        <v>18410.130075122099</v>
      </c>
      <c r="T123" s="18">
        <v>0.90335230781353204</v>
      </c>
      <c r="U123" s="18">
        <v>1.4968431261362601E-2</v>
      </c>
      <c r="V123" s="18">
        <v>3.9557106884123998E-2</v>
      </c>
      <c r="W123" s="18">
        <v>4912.0466527711797</v>
      </c>
      <c r="X123" s="18">
        <v>26.885529767881899</v>
      </c>
      <c r="Y123" s="18">
        <v>71.050449849718603</v>
      </c>
      <c r="Z123" s="18">
        <v>7.2202920112062499</v>
      </c>
      <c r="AA123" s="18">
        <v>0.13790181009859201</v>
      </c>
      <c r="AB123" s="18">
        <v>0.36571257631818999</v>
      </c>
      <c r="AC123" s="18">
        <v>-384849.306180902</v>
      </c>
      <c r="AD123" s="18">
        <v>7707.03774619448</v>
      </c>
      <c r="AE123" s="18">
        <v>72.987584602897201</v>
      </c>
      <c r="AF123" s="18">
        <v>3.4712393190095798</v>
      </c>
      <c r="AG123" s="18">
        <v>-1.83938749098275E-4</v>
      </c>
      <c r="AH123" s="18">
        <v>5.9047041415880798E-6</v>
      </c>
      <c r="AI123" s="18">
        <v>222.26325603658401</v>
      </c>
      <c r="AJ123" s="18">
        <v>11.1512017397548</v>
      </c>
      <c r="AL123" s="18">
        <v>0.62171355358732405</v>
      </c>
      <c r="AM123" s="18">
        <v>0.43330459914708203</v>
      </c>
    </row>
    <row r="124" spans="1:39" x14ac:dyDescent="0.2">
      <c r="A124" s="18" t="s">
        <v>404</v>
      </c>
      <c r="B124" s="18">
        <v>0.14027283826599601</v>
      </c>
      <c r="C124" s="18">
        <v>3.02185354820215E-3</v>
      </c>
      <c r="D124" s="18">
        <v>7.0072866251560699E-3</v>
      </c>
      <c r="E124" s="18">
        <v>845.38083195722595</v>
      </c>
      <c r="F124" s="18">
        <v>17.053217028357601</v>
      </c>
      <c r="G124" s="18">
        <v>39.544199509532199</v>
      </c>
      <c r="H124" s="18">
        <v>17.598522609027601</v>
      </c>
      <c r="I124" s="18">
        <v>0.366626852177728</v>
      </c>
      <c r="J124" s="18">
        <v>1.13084104239687</v>
      </c>
      <c r="K124" s="18">
        <v>2960.8651356233599</v>
      </c>
      <c r="L124" s="18">
        <v>20.003622062842599</v>
      </c>
      <c r="M124" s="18">
        <v>61.700109227929602</v>
      </c>
      <c r="N124" s="18">
        <v>233547.541306976</v>
      </c>
      <c r="O124" s="18">
        <v>28840.6342043064</v>
      </c>
      <c r="P124" s="18">
        <v>29934.019199647599</v>
      </c>
      <c r="Q124" s="18">
        <v>247247.34109580101</v>
      </c>
      <c r="R124" s="18">
        <v>2232.1395734022599</v>
      </c>
      <c r="S124" s="18">
        <v>2316.76281364643</v>
      </c>
      <c r="T124" s="18">
        <v>0.91318398545639001</v>
      </c>
      <c r="U124" s="18">
        <v>1.55703122340863E-2</v>
      </c>
      <c r="V124" s="18">
        <v>4.0155478137542097E-2</v>
      </c>
      <c r="W124" s="18">
        <v>4912.71303289568</v>
      </c>
      <c r="X124" s="18">
        <v>20.629425824042698</v>
      </c>
      <c r="Y124" s="18">
        <v>53.202816052327201</v>
      </c>
      <c r="Z124" s="18">
        <v>7.2241736329142903</v>
      </c>
      <c r="AA124" s="18">
        <v>0.15515289759554199</v>
      </c>
      <c r="AB124" s="18">
        <v>0.35977945550084001</v>
      </c>
      <c r="AC124" s="18">
        <v>684688.836992005</v>
      </c>
      <c r="AD124" s="18">
        <v>75487.786970828995</v>
      </c>
      <c r="AE124" s="18">
        <v>71.640749550144605</v>
      </c>
      <c r="AF124" s="18">
        <v>3.2725497582109599</v>
      </c>
      <c r="AG124" s="18">
        <v>1.1144880131124799E-4</v>
      </c>
      <c r="AH124" s="18">
        <v>5.7154066921383396E-6</v>
      </c>
      <c r="AI124" s="18">
        <v>218.41319405925</v>
      </c>
      <c r="AJ124" s="18">
        <v>11.0300993891047</v>
      </c>
      <c r="AL124" s="18">
        <v>0.67972028447906296</v>
      </c>
      <c r="AM124" s="18">
        <v>0.46736010348557</v>
      </c>
    </row>
    <row r="125" spans="1:39" x14ac:dyDescent="0.2">
      <c r="A125" s="18" t="s">
        <v>405</v>
      </c>
      <c r="B125" s="18">
        <v>0.139959370327328</v>
      </c>
      <c r="C125" s="18">
        <v>2.7064447580877901E-3</v>
      </c>
      <c r="D125" s="18">
        <v>6.8637732054985497E-3</v>
      </c>
      <c r="E125" s="18">
        <v>843.76890181367401</v>
      </c>
      <c r="F125" s="18">
        <v>15.3170586993184</v>
      </c>
      <c r="G125" s="18">
        <v>38.845358573551998</v>
      </c>
      <c r="H125" s="18">
        <v>17.9272475644682</v>
      </c>
      <c r="I125" s="18">
        <v>0.38324771921724698</v>
      </c>
      <c r="J125" s="18">
        <v>1.15454001693466</v>
      </c>
      <c r="K125" s="18">
        <v>2978.1224027910298</v>
      </c>
      <c r="L125" s="18">
        <v>20.825418905322099</v>
      </c>
      <c r="M125" s="18">
        <v>62.7369147681543</v>
      </c>
      <c r="N125" s="18">
        <v>-111766.18454816</v>
      </c>
      <c r="O125" s="18">
        <v>2025.2350439130801</v>
      </c>
      <c r="P125" s="18">
        <v>4338.0055687450604</v>
      </c>
      <c r="Q125" s="18">
        <v>104343.760345382</v>
      </c>
      <c r="R125" s="18">
        <v>4689.9254123479204</v>
      </c>
      <c r="S125" s="18">
        <v>10045.7093199684</v>
      </c>
      <c r="T125" s="18">
        <v>0.92827949495043705</v>
      </c>
      <c r="U125" s="18">
        <v>1.58206894050896E-2</v>
      </c>
      <c r="V125" s="18">
        <v>4.0817335748042798E-2</v>
      </c>
      <c r="W125" s="18">
        <v>4917.22144606234</v>
      </c>
      <c r="X125" s="18">
        <v>24.163464364006401</v>
      </c>
      <c r="Y125" s="18">
        <v>62.341672510442201</v>
      </c>
      <c r="Z125" s="18">
        <v>7.1827469619360498</v>
      </c>
      <c r="AA125" s="18">
        <v>0.145241744525823</v>
      </c>
      <c r="AB125" s="18">
        <v>0.36834536948042501</v>
      </c>
      <c r="AC125" s="18">
        <v>-349100.83709211601</v>
      </c>
      <c r="AD125" s="18">
        <v>6015.7429289640104</v>
      </c>
      <c r="AE125" s="18">
        <v>71.656097146075695</v>
      </c>
      <c r="AF125" s="18">
        <v>3.3310329959512499</v>
      </c>
      <c r="AG125" s="18">
        <v>-2.12486234940977E-4</v>
      </c>
      <c r="AH125" s="18">
        <v>1.1015042278961399E-5</v>
      </c>
      <c r="AI125" s="18">
        <v>217.9513384773</v>
      </c>
      <c r="AJ125" s="18">
        <v>11.413846083333601</v>
      </c>
      <c r="AL125" s="18">
        <v>0.67351184166105404</v>
      </c>
      <c r="AM125" s="18">
        <v>0.44056427068019099</v>
      </c>
    </row>
    <row r="126" spans="1:39" x14ac:dyDescent="0.2">
      <c r="A126" s="18" t="s">
        <v>406</v>
      </c>
      <c r="B126" s="18">
        <v>0.14071294485927499</v>
      </c>
      <c r="C126" s="18">
        <v>2.8326568355144001E-3</v>
      </c>
      <c r="D126" s="18">
        <v>6.9458989910481999E-3</v>
      </c>
      <c r="E126" s="18">
        <v>847.96773132921498</v>
      </c>
      <c r="F126" s="18">
        <v>16.000223465796701</v>
      </c>
      <c r="G126" s="18">
        <v>39.233815629997103</v>
      </c>
      <c r="H126" s="18">
        <v>18.220511154356799</v>
      </c>
      <c r="I126" s="18">
        <v>0.38365063341773398</v>
      </c>
      <c r="J126" s="18">
        <v>1.1715827784284001</v>
      </c>
      <c r="K126" s="18">
        <v>2993.9616467721198</v>
      </c>
      <c r="L126" s="18">
        <v>20.500455240318601</v>
      </c>
      <c r="M126" s="18">
        <v>62.603781194199001</v>
      </c>
      <c r="N126" s="18">
        <v>218888.183617039</v>
      </c>
      <c r="O126" s="18">
        <v>1422373.11823405</v>
      </c>
      <c r="P126" s="18">
        <v>1422392.9536438801</v>
      </c>
      <c r="Q126" s="18">
        <v>279404.28975964501</v>
      </c>
      <c r="R126" s="18">
        <v>27608.168849831101</v>
      </c>
      <c r="S126" s="18">
        <v>27608.553853833699</v>
      </c>
      <c r="T126" s="18">
        <v>0.94336266095040699</v>
      </c>
      <c r="U126" s="18">
        <v>1.4986273178853499E-2</v>
      </c>
      <c r="V126" s="18">
        <v>4.1063739593275903E-2</v>
      </c>
      <c r="W126" s="18">
        <v>4934.5008325558301</v>
      </c>
      <c r="X126" s="18">
        <v>23.561415760036599</v>
      </c>
      <c r="Y126" s="18">
        <v>64.560403355270296</v>
      </c>
      <c r="Z126" s="18">
        <v>7.1878424325819097</v>
      </c>
      <c r="AA126" s="18">
        <v>0.14749455584436799</v>
      </c>
      <c r="AB126" s="18">
        <v>0.361668336870199</v>
      </c>
      <c r="AC126" s="18">
        <v>165933.699194788</v>
      </c>
      <c r="AD126" s="18">
        <v>4021728.0118505801</v>
      </c>
      <c r="AE126" s="18">
        <v>70.891722748308396</v>
      </c>
      <c r="AF126" s="18">
        <v>3.3676956609743698</v>
      </c>
      <c r="AG126" s="18">
        <v>-2.4958761628865299E-5</v>
      </c>
      <c r="AH126" s="18">
        <v>4.2396349812051799E-6</v>
      </c>
      <c r="AI126" s="18">
        <v>212.40305466361499</v>
      </c>
      <c r="AJ126" s="18">
        <v>11.3497913166819</v>
      </c>
      <c r="AL126" s="18">
        <v>0.70948352521779001</v>
      </c>
      <c r="AM126" s="18">
        <v>0.38307532651430398</v>
      </c>
    </row>
    <row r="127" spans="1:39" x14ac:dyDescent="0.2">
      <c r="A127" s="18" t="s">
        <v>407</v>
      </c>
      <c r="B127" s="18">
        <v>0.14026887644181299</v>
      </c>
      <c r="C127" s="18">
        <v>3.0394952283230902E-3</v>
      </c>
      <c r="D127" s="18">
        <v>7.0145586454957304E-3</v>
      </c>
      <c r="E127" s="18">
        <v>845.34844581052198</v>
      </c>
      <c r="F127" s="18">
        <v>17.158014845366498</v>
      </c>
      <c r="G127" s="18">
        <v>39.597331902873599</v>
      </c>
      <c r="H127" s="18">
        <v>18.479397616853699</v>
      </c>
      <c r="I127" s="18">
        <v>0.41190847459232899</v>
      </c>
      <c r="J127" s="18">
        <v>1.1960475780976501</v>
      </c>
      <c r="K127" s="18">
        <v>3006.7633428293202</v>
      </c>
      <c r="L127" s="18">
        <v>21.464424103923001</v>
      </c>
      <c r="M127" s="18">
        <v>62.325671959447597</v>
      </c>
      <c r="N127" s="18">
        <v>-391325.18984555302</v>
      </c>
      <c r="O127" s="18">
        <v>154643.21229998599</v>
      </c>
      <c r="P127" s="18">
        <v>155225.37388462599</v>
      </c>
      <c r="Q127" s="18">
        <v>232164.255364212</v>
      </c>
      <c r="R127" s="18">
        <v>43372.866780084398</v>
      </c>
      <c r="S127" s="18">
        <v>43536.145959814101</v>
      </c>
      <c r="T127" s="18">
        <v>0.95859208282630304</v>
      </c>
      <c r="U127" s="18">
        <v>1.6242796878837201E-2</v>
      </c>
      <c r="V127" s="18">
        <v>4.2114758683878102E-2</v>
      </c>
      <c r="W127" s="18">
        <v>4937.5686881476104</v>
      </c>
      <c r="X127" s="18">
        <v>24.651910095327299</v>
      </c>
      <c r="Y127" s="18">
        <v>63.918132604000903</v>
      </c>
      <c r="Z127" s="18">
        <v>7.2262861329127697</v>
      </c>
      <c r="AA127" s="18">
        <v>0.15803867403436</v>
      </c>
      <c r="AB127" s="18">
        <v>0.364722252872893</v>
      </c>
      <c r="AC127" s="18">
        <v>-1141931.7018287301</v>
      </c>
      <c r="AD127" s="18">
        <v>508658.85860888602</v>
      </c>
      <c r="AE127" s="18">
        <v>70.644942121194404</v>
      </c>
      <c r="AF127" s="18">
        <v>3.47860810939626</v>
      </c>
      <c r="AG127" s="18">
        <v>-5.5445862822168397E-5</v>
      </c>
      <c r="AH127" s="18">
        <v>6.0003202649468598E-6</v>
      </c>
      <c r="AI127" s="18">
        <v>214.79660586475799</v>
      </c>
      <c r="AJ127" s="18">
        <v>11.250663514603801</v>
      </c>
      <c r="AL127" s="18">
        <v>0.70034465996553197</v>
      </c>
      <c r="AM127" s="18">
        <v>0.41890521388514301</v>
      </c>
    </row>
    <row r="128" spans="1:39" x14ac:dyDescent="0.2">
      <c r="A128" s="18" t="s">
        <v>408</v>
      </c>
      <c r="B128" s="18">
        <v>0.13965584268707601</v>
      </c>
      <c r="C128" s="18">
        <v>3.1846032353822899E-3</v>
      </c>
      <c r="D128" s="18">
        <v>7.0540163293017696E-3</v>
      </c>
      <c r="E128" s="18">
        <v>841.799126851545</v>
      </c>
      <c r="F128" s="18">
        <v>17.988434702483001</v>
      </c>
      <c r="G128" s="18">
        <v>39.845061613981997</v>
      </c>
      <c r="H128" s="18">
        <v>17.476110263525101</v>
      </c>
      <c r="I128" s="18">
        <v>0.40655296523224999</v>
      </c>
      <c r="J128" s="18">
        <v>1.1386568579599701</v>
      </c>
      <c r="K128" s="18">
        <v>2952.2831673625001</v>
      </c>
      <c r="L128" s="18">
        <v>22.529932692098601</v>
      </c>
      <c r="M128" s="18">
        <v>63.100910737619301</v>
      </c>
      <c r="N128" s="18">
        <v>219512.602053259</v>
      </c>
      <c r="O128" s="18">
        <v>21639.6599024118</v>
      </c>
      <c r="P128" s="18">
        <v>22913.918148381399</v>
      </c>
      <c r="Q128" s="18">
        <v>247600.420845602</v>
      </c>
      <c r="R128" s="18">
        <v>1678.9647137676</v>
      </c>
      <c r="S128" s="18">
        <v>1777.83108416614</v>
      </c>
      <c r="T128" s="18">
        <v>0.91124375175031602</v>
      </c>
      <c r="U128" s="18">
        <v>1.6467910702091301E-2</v>
      </c>
      <c r="V128" s="18">
        <v>4.0441906954329303E-2</v>
      </c>
      <c r="W128" s="18">
        <v>4904.28387574511</v>
      </c>
      <c r="X128" s="18">
        <v>23.564011933877499</v>
      </c>
      <c r="Y128" s="18">
        <v>57.868517466490601</v>
      </c>
      <c r="Z128" s="18">
        <v>7.2467667481409404</v>
      </c>
      <c r="AA128" s="18">
        <v>0.16248927075248301</v>
      </c>
      <c r="AB128" s="18">
        <v>0.35991986583746499</v>
      </c>
      <c r="AC128" s="18">
        <v>674601.57294802705</v>
      </c>
      <c r="AD128" s="18">
        <v>58768.0768032165</v>
      </c>
      <c r="AE128" s="18">
        <v>70.609747185416694</v>
      </c>
      <c r="AF128" s="18">
        <v>3.2298156408676602</v>
      </c>
      <c r="AG128" s="18">
        <v>1.06125291761974E-4</v>
      </c>
      <c r="AH128" s="18">
        <v>2.7401539649495099E-6</v>
      </c>
      <c r="AI128" s="18">
        <v>214.18204286036899</v>
      </c>
      <c r="AJ128" s="18">
        <v>11.471920621860001</v>
      </c>
      <c r="AL128" s="18">
        <v>0.69316072299481502</v>
      </c>
      <c r="AM128" s="18">
        <v>0.434690135490642</v>
      </c>
    </row>
    <row r="129" spans="1:39" x14ac:dyDescent="0.2">
      <c r="A129" s="18" t="s">
        <v>409</v>
      </c>
      <c r="B129" s="18">
        <v>0.13956437983473</v>
      </c>
      <c r="C129" s="18">
        <v>3.5119239147935201E-3</v>
      </c>
      <c r="D129" s="18">
        <v>7.2041417108869802E-3</v>
      </c>
      <c r="E129" s="18">
        <v>841.08308785221402</v>
      </c>
      <c r="F129" s="18">
        <v>19.843126528436599</v>
      </c>
      <c r="G129" s="18">
        <v>40.704952318513698</v>
      </c>
      <c r="H129" s="18">
        <v>17.444271386890001</v>
      </c>
      <c r="I129" s="18">
        <v>0.408335068984919</v>
      </c>
      <c r="J129" s="18">
        <v>1.1375889089217699</v>
      </c>
      <c r="K129" s="18">
        <v>2950.54668015787</v>
      </c>
      <c r="L129" s="18">
        <v>22.428780327140899</v>
      </c>
      <c r="M129" s="18">
        <v>62.484791728090698</v>
      </c>
      <c r="N129" s="18">
        <v>-120264.637355299</v>
      </c>
      <c r="O129" s="18">
        <v>17399.872350590798</v>
      </c>
      <c r="P129" s="18">
        <v>17882.843887271902</v>
      </c>
      <c r="Q129" s="18">
        <v>104637.290774983</v>
      </c>
      <c r="R129" s="18">
        <v>7512.9418200907603</v>
      </c>
      <c r="S129" s="18">
        <v>7721.4799623675499</v>
      </c>
      <c r="T129" s="18">
        <v>0.909758941620738</v>
      </c>
      <c r="U129" s="18">
        <v>1.63608635295306E-2</v>
      </c>
      <c r="V129" s="18">
        <v>4.0340620768145298E-2</v>
      </c>
      <c r="W129" s="18">
        <v>4919.9156501226598</v>
      </c>
      <c r="X129" s="18">
        <v>19.1739791221056</v>
      </c>
      <c r="Y129" s="18">
        <v>47.276857910652701</v>
      </c>
      <c r="Z129" s="18">
        <v>7.30488689764812</v>
      </c>
      <c r="AA129" s="18">
        <v>0.18713701463066201</v>
      </c>
      <c r="AB129" s="18">
        <v>0.38388120171757401</v>
      </c>
      <c r="AC129" s="18">
        <v>-369335.61712926597</v>
      </c>
      <c r="AD129" s="18">
        <v>47763.634511419397</v>
      </c>
      <c r="AE129" s="18">
        <v>71.005304868849706</v>
      </c>
      <c r="AF129" s="18">
        <v>3.1516171559175099</v>
      </c>
      <c r="AG129" s="18">
        <v>-2.3101248427707401E-4</v>
      </c>
      <c r="AH129" s="18">
        <v>1.5226842728223699E-5</v>
      </c>
      <c r="AI129" s="18">
        <v>209.85167579815899</v>
      </c>
      <c r="AJ129" s="18">
        <v>11.6144449743759</v>
      </c>
      <c r="AL129" s="18">
        <v>0.71424278300701505</v>
      </c>
      <c r="AM129" s="18">
        <v>0.53844755331628003</v>
      </c>
    </row>
    <row r="130" spans="1:39" x14ac:dyDescent="0.2">
      <c r="A130" s="18" t="s">
        <v>410</v>
      </c>
      <c r="B130" s="18">
        <v>0.140816272629605</v>
      </c>
      <c r="C130" s="18">
        <v>3.15421433851214E-3</v>
      </c>
      <c r="D130" s="18">
        <v>7.0870071062862196E-3</v>
      </c>
      <c r="E130" s="18">
        <v>848.38079253255796</v>
      </c>
      <c r="F130" s="18">
        <v>17.771286323289701</v>
      </c>
      <c r="G130" s="18">
        <v>39.929192801910297</v>
      </c>
      <c r="H130" s="18">
        <v>17.536987239185201</v>
      </c>
      <c r="I130" s="18">
        <v>0.42600619177395299</v>
      </c>
      <c r="J130" s="18">
        <v>1.1491722334891601</v>
      </c>
      <c r="K130" s="18">
        <v>2954.89014994833</v>
      </c>
      <c r="L130" s="18">
        <v>23.376911265408602</v>
      </c>
      <c r="M130" s="18">
        <v>63.060344778279998</v>
      </c>
      <c r="N130" s="18">
        <v>-42631.6992235367</v>
      </c>
      <c r="O130" s="18">
        <v>2677.15443696175</v>
      </c>
      <c r="P130" s="18">
        <v>3050.9939095591299</v>
      </c>
      <c r="Q130" s="18">
        <v>106654.434366695</v>
      </c>
      <c r="R130" s="18">
        <v>3380.57915944759</v>
      </c>
      <c r="S130" s="18">
        <v>3852.64528779388</v>
      </c>
      <c r="T130" s="18">
        <v>0.90184716394556597</v>
      </c>
      <c r="U130" s="18">
        <v>1.2697160235913999E-2</v>
      </c>
      <c r="V130" s="18">
        <v>3.8712880220695398E-2</v>
      </c>
      <c r="W130" s="18">
        <v>4920.2127823380297</v>
      </c>
      <c r="X130" s="18">
        <v>18.2583692273354</v>
      </c>
      <c r="Y130" s="18">
        <v>55.668672978055298</v>
      </c>
      <c r="Z130" s="18">
        <v>7.2001188543545203</v>
      </c>
      <c r="AA130" s="18">
        <v>0.15856705718695299</v>
      </c>
      <c r="AB130" s="18">
        <v>0.356274412739153</v>
      </c>
      <c r="AC130" s="18">
        <v>-138383.65866586799</v>
      </c>
      <c r="AD130" s="18">
        <v>5359.1701487284599</v>
      </c>
      <c r="AE130" s="18">
        <v>69.706541812586593</v>
      </c>
      <c r="AF130" s="18">
        <v>3.2398358002213001</v>
      </c>
      <c r="AG130" s="18">
        <v>-5.0014001680106796E-4</v>
      </c>
      <c r="AH130" s="18">
        <v>5.3648809102562898E-6</v>
      </c>
      <c r="AI130" s="18">
        <v>211.240570536989</v>
      </c>
      <c r="AJ130" s="18">
        <v>11.5938203772047</v>
      </c>
      <c r="AL130" s="18">
        <v>0.79430548838901405</v>
      </c>
      <c r="AM130" s="18">
        <v>0.24751949898478401</v>
      </c>
    </row>
    <row r="131" spans="1:39" x14ac:dyDescent="0.2">
      <c r="A131" s="18" t="s">
        <v>411</v>
      </c>
      <c r="B131" s="18">
        <v>0.14944769305291</v>
      </c>
      <c r="C131" s="18">
        <v>2.7537609243679499E-3</v>
      </c>
      <c r="D131" s="18">
        <v>7.2780678312232396E-3</v>
      </c>
      <c r="E131" s="18">
        <v>897.19415923514998</v>
      </c>
      <c r="F131" s="18">
        <v>15.397735944636899</v>
      </c>
      <c r="G131" s="18">
        <v>40.695532302991602</v>
      </c>
      <c r="H131" s="18">
        <v>18.094500371629199</v>
      </c>
      <c r="I131" s="18">
        <v>0.32110490417950199</v>
      </c>
      <c r="J131" s="18">
        <v>1.1459364311098601</v>
      </c>
      <c r="K131" s="18">
        <v>2989.4762391836798</v>
      </c>
      <c r="L131" s="18">
        <v>17.229654353191101</v>
      </c>
      <c r="M131" s="18">
        <v>61.487969700129597</v>
      </c>
      <c r="N131" s="18">
        <v>354053.63906591397</v>
      </c>
      <c r="O131" s="18">
        <v>2342825.6832924602</v>
      </c>
      <c r="P131" s="18">
        <v>2342857.1921500699</v>
      </c>
      <c r="Q131" s="18">
        <v>287781.03705795202</v>
      </c>
      <c r="R131" s="18">
        <v>40863.340060517803</v>
      </c>
      <c r="S131" s="18">
        <v>40863.889634979503</v>
      </c>
      <c r="T131" s="18">
        <v>0.88464735046126997</v>
      </c>
      <c r="U131" s="18">
        <v>1.6193546367480799E-2</v>
      </c>
      <c r="V131" s="18">
        <v>3.9344347844702199E-2</v>
      </c>
      <c r="W131" s="18">
        <v>4881.8207489927299</v>
      </c>
      <c r="X131" s="18">
        <v>27.648470484684001</v>
      </c>
      <c r="Y131" s="18">
        <v>67.175590536973601</v>
      </c>
      <c r="Z131" s="18">
        <v>6.7018597268199098</v>
      </c>
      <c r="AA131" s="18">
        <v>0.12415964958938</v>
      </c>
      <c r="AB131" s="18">
        <v>0.32814844005378702</v>
      </c>
      <c r="AC131" s="18">
        <v>1156180.8066714699</v>
      </c>
      <c r="AD131" s="18">
        <v>7116547.85534022</v>
      </c>
      <c r="AE131" s="18">
        <v>68.140257524941205</v>
      </c>
      <c r="AF131" s="18">
        <v>4.0501575951176898</v>
      </c>
      <c r="AG131" s="18">
        <v>-2.25385519578518E-5</v>
      </c>
      <c r="AH131" s="18">
        <v>3.0340092835007201E-6</v>
      </c>
      <c r="AI131" s="18">
        <v>213.58579083983599</v>
      </c>
      <c r="AJ131" s="18">
        <v>11.2895941748813</v>
      </c>
      <c r="AL131" s="18">
        <v>0.51687719700245505</v>
      </c>
      <c r="AM131" s="18">
        <v>0.45685155078780798</v>
      </c>
    </row>
    <row r="132" spans="1:39" x14ac:dyDescent="0.2">
      <c r="A132" s="18" t="s">
        <v>412</v>
      </c>
      <c r="B132" s="18">
        <v>0.144130800117302</v>
      </c>
      <c r="C132" s="18">
        <v>2.7475965647841402E-3</v>
      </c>
      <c r="D132" s="18">
        <v>7.0539151611409201E-3</v>
      </c>
      <c r="E132" s="18">
        <v>867.30180218326302</v>
      </c>
      <c r="F132" s="18">
        <v>15.4570612549171</v>
      </c>
      <c r="G132" s="18">
        <v>39.682972431328999</v>
      </c>
      <c r="H132" s="18">
        <v>17.4320162629209</v>
      </c>
      <c r="I132" s="18">
        <v>0.35622114169268798</v>
      </c>
      <c r="J132" s="18">
        <v>1.1179581300746999</v>
      </c>
      <c r="K132" s="18">
        <v>2951.9900634641999</v>
      </c>
      <c r="L132" s="18">
        <v>19.6604394568628</v>
      </c>
      <c r="M132" s="18">
        <v>61.701975427957699</v>
      </c>
      <c r="N132" s="18">
        <v>-201882.791619247</v>
      </c>
      <c r="O132" s="18">
        <v>560350.71099036699</v>
      </c>
      <c r="P132" s="18">
        <v>560393.54324775399</v>
      </c>
      <c r="Q132" s="18">
        <v>271147.93479742901</v>
      </c>
      <c r="R132" s="18">
        <v>17163.194502479801</v>
      </c>
      <c r="S132" s="18">
        <v>17164.506427940301</v>
      </c>
      <c r="T132" s="18">
        <v>0.88304134521973798</v>
      </c>
      <c r="U132" s="18">
        <v>1.5285765712100699E-2</v>
      </c>
      <c r="V132" s="18">
        <v>3.89194983185411E-2</v>
      </c>
      <c r="W132" s="18">
        <v>4908.27574666501</v>
      </c>
      <c r="X132" s="18">
        <v>19.167098333804901</v>
      </c>
      <c r="Y132" s="18">
        <v>48.801863473760697</v>
      </c>
      <c r="Z132" s="18">
        <v>7.0036187552055003</v>
      </c>
      <c r="AA132" s="18">
        <v>0.134154452807697</v>
      </c>
      <c r="AB132" s="18">
        <v>0.34441523938545199</v>
      </c>
      <c r="AC132" s="18">
        <v>-885245.04689874605</v>
      </c>
      <c r="AD132" s="18">
        <v>1790238.7508006501</v>
      </c>
      <c r="AE132" s="18">
        <v>70.177272493421299</v>
      </c>
      <c r="AF132" s="18">
        <v>3.76486422918425</v>
      </c>
      <c r="AG132" s="18">
        <v>4.2117832530322004E-3</v>
      </c>
      <c r="AH132" s="18">
        <v>3.7188081109159601E-3</v>
      </c>
      <c r="AI132" s="18">
        <v>214.30067169358901</v>
      </c>
      <c r="AJ132" s="18">
        <v>11.4912431758456</v>
      </c>
      <c r="AL132" s="18">
        <v>0.60887894234478601</v>
      </c>
      <c r="AM132" s="18">
        <v>0.39593657119742698</v>
      </c>
    </row>
    <row r="133" spans="1:39" x14ac:dyDescent="0.2">
      <c r="A133" s="18" t="s">
        <v>413</v>
      </c>
      <c r="B133" s="18">
        <v>0.14208965218616601</v>
      </c>
      <c r="C133" s="18">
        <v>2.9750623170452899E-3</v>
      </c>
      <c r="D133" s="18">
        <v>7.0613338823109304E-3</v>
      </c>
      <c r="E133" s="18">
        <v>855.67358206522397</v>
      </c>
      <c r="F133" s="18">
        <v>16.733455282212098</v>
      </c>
      <c r="G133" s="18">
        <v>39.716988136830402</v>
      </c>
      <c r="H133" s="18">
        <v>17.423084183433001</v>
      </c>
      <c r="I133" s="18">
        <v>0.371037986788813</v>
      </c>
      <c r="J133" s="18">
        <v>1.1220867589504799</v>
      </c>
      <c r="K133" s="18">
        <v>2956.2345445583501</v>
      </c>
      <c r="L133" s="18">
        <v>20.584408761615599</v>
      </c>
      <c r="M133" s="18">
        <v>62.2510183179159</v>
      </c>
      <c r="N133" s="18">
        <v>-161003.17117066999</v>
      </c>
      <c r="O133" s="18">
        <v>26885.4680431987</v>
      </c>
      <c r="P133" s="18">
        <v>27447.560071124699</v>
      </c>
      <c r="Q133" s="18">
        <v>101344.68593935401</v>
      </c>
      <c r="R133" s="18">
        <v>5086.8116623104797</v>
      </c>
      <c r="S133" s="18">
        <v>5193.16116972287</v>
      </c>
      <c r="T133" s="18">
        <v>0.89067441951336801</v>
      </c>
      <c r="U133" s="18">
        <v>1.3548122352253699E-2</v>
      </c>
      <c r="V133" s="18">
        <v>3.85599376328878E-2</v>
      </c>
      <c r="W133" s="18">
        <v>4931.4154675522304</v>
      </c>
      <c r="X133" s="18">
        <v>17.439722510170501</v>
      </c>
      <c r="Y133" s="18">
        <v>49.636000830415803</v>
      </c>
      <c r="Z133" s="18">
        <v>7.1209628049803202</v>
      </c>
      <c r="AA133" s="18">
        <v>0.14616659219531999</v>
      </c>
      <c r="AB133" s="18">
        <v>0.34692755980849699</v>
      </c>
      <c r="AC133" s="18">
        <v>-461494.837458644</v>
      </c>
      <c r="AD133" s="18">
        <v>70550.486091895596</v>
      </c>
      <c r="AE133" s="18">
        <v>68.907281274217397</v>
      </c>
      <c r="AF133" s="18">
        <v>3.5667261158364001</v>
      </c>
      <c r="AG133" s="18">
        <v>-2.0281295725949901E-4</v>
      </c>
      <c r="AH133" s="18">
        <v>1.6862356642479999E-5</v>
      </c>
      <c r="AI133" s="18">
        <v>207.31791293758201</v>
      </c>
      <c r="AJ133" s="18">
        <v>11.5503424228061</v>
      </c>
      <c r="AL133" s="18">
        <v>0.75334545838934497</v>
      </c>
      <c r="AM133" s="18">
        <v>0.38322478074615102</v>
      </c>
    </row>
    <row r="134" spans="1:39" x14ac:dyDescent="0.2">
      <c r="A134" s="18" t="s">
        <v>414</v>
      </c>
      <c r="B134" s="18">
        <v>0.14431216889307899</v>
      </c>
      <c r="C134" s="18">
        <v>3.1780403862705199E-3</v>
      </c>
      <c r="D134" s="18">
        <v>7.23919945203779E-3</v>
      </c>
      <c r="E134" s="18">
        <v>868.09475359922897</v>
      </c>
      <c r="F134" s="18">
        <v>17.881527290077099</v>
      </c>
      <c r="G134" s="18">
        <v>40.732000486574599</v>
      </c>
      <c r="H134" s="18">
        <v>17.792196468107701</v>
      </c>
      <c r="I134" s="18">
        <v>0.37462353932130499</v>
      </c>
      <c r="J134" s="18">
        <v>1.1432416509939101</v>
      </c>
      <c r="K134" s="18">
        <v>2971.1082335408</v>
      </c>
      <c r="L134" s="18">
        <v>20.455977914711099</v>
      </c>
      <c r="M134" s="18">
        <v>62.4256713987523</v>
      </c>
      <c r="N134" s="18">
        <v>-76241.132527438502</v>
      </c>
      <c r="O134" s="18">
        <v>1461.0355848971201</v>
      </c>
      <c r="P134" s="18">
        <v>2997.3265608850802</v>
      </c>
      <c r="Q134" s="18">
        <v>94882.236869961998</v>
      </c>
      <c r="R134" s="18">
        <v>3215.7213475810399</v>
      </c>
      <c r="S134" s="18">
        <v>6597.0788851036295</v>
      </c>
      <c r="T134" s="18">
        <v>0.90177656785997895</v>
      </c>
      <c r="U134" s="18">
        <v>1.66019599163795E-2</v>
      </c>
      <c r="V134" s="18">
        <v>4.0146313690004203E-2</v>
      </c>
      <c r="W134" s="18">
        <v>4888.21184178556</v>
      </c>
      <c r="X134" s="18">
        <v>25.313068973667502</v>
      </c>
      <c r="Y134" s="18">
        <v>61.2112312396901</v>
      </c>
      <c r="Z134" s="18">
        <v>7.0312809285042404</v>
      </c>
      <c r="AA134" s="18">
        <v>0.157222612640983</v>
      </c>
      <c r="AB134" s="18">
        <v>0.358134483185159</v>
      </c>
      <c r="AC134" s="18">
        <v>-214632.40547452599</v>
      </c>
      <c r="AD134" s="18">
        <v>3011.8801045587602</v>
      </c>
      <c r="AE134" s="18">
        <v>71.397845997795699</v>
      </c>
      <c r="AF134" s="18">
        <v>3.4902792054736902</v>
      </c>
      <c r="AG134" s="18">
        <v>-3.7991901091044702E-4</v>
      </c>
      <c r="AH134" s="18">
        <v>1.7527383335231999E-5</v>
      </c>
      <c r="AI134" s="18">
        <v>218.10184442877099</v>
      </c>
      <c r="AJ134" s="18">
        <v>11.561095674312799</v>
      </c>
      <c r="AL134" s="18">
        <v>0.63061523547783405</v>
      </c>
      <c r="AM134" s="18">
        <v>0.492054975516168</v>
      </c>
    </row>
    <row r="135" spans="1:39" x14ac:dyDescent="0.2">
      <c r="A135" s="18" t="s">
        <v>415</v>
      </c>
      <c r="B135" s="18">
        <v>0.144605365729082</v>
      </c>
      <c r="C135" s="18">
        <v>2.67608325230413E-3</v>
      </c>
      <c r="D135" s="18">
        <v>7.0458265161630401E-3</v>
      </c>
      <c r="E135" s="18">
        <v>870.01020984824004</v>
      </c>
      <c r="F135" s="18">
        <v>15.052984359644601</v>
      </c>
      <c r="G135" s="18">
        <v>39.632816451899401</v>
      </c>
      <c r="H135" s="18">
        <v>18.1218131862381</v>
      </c>
      <c r="I135" s="18">
        <v>0.40524614525221903</v>
      </c>
      <c r="J135" s="18">
        <v>1.1729440930878501</v>
      </c>
      <c r="K135" s="18">
        <v>2987.9333039200201</v>
      </c>
      <c r="L135" s="18">
        <v>21.491440199203598</v>
      </c>
      <c r="M135" s="18">
        <v>62.204805965316197</v>
      </c>
      <c r="N135" s="18">
        <v>434747.88560030703</v>
      </c>
      <c r="O135" s="18">
        <v>36087.114831009399</v>
      </c>
      <c r="P135" s="18">
        <v>39050.901442321599</v>
      </c>
      <c r="Q135" s="18">
        <v>261530.679300182</v>
      </c>
      <c r="R135" s="18">
        <v>1358.50620313687</v>
      </c>
      <c r="S135" s="18">
        <v>1470.0785057467201</v>
      </c>
      <c r="T135" s="18">
        <v>0.91317882189720401</v>
      </c>
      <c r="U135" s="18">
        <v>1.54753039758621E-2</v>
      </c>
      <c r="V135" s="18">
        <v>4.0108616544727499E-2</v>
      </c>
      <c r="W135" s="18">
        <v>4917.1834876267603</v>
      </c>
      <c r="X135" s="18">
        <v>22.046975454429301</v>
      </c>
      <c r="Y135" s="18">
        <v>57.140957350626998</v>
      </c>
      <c r="Z135" s="18">
        <v>6.94895931641401</v>
      </c>
      <c r="AA135" s="18">
        <v>0.12905009357311401</v>
      </c>
      <c r="AB135" s="18">
        <v>0.33977439619185501</v>
      </c>
      <c r="AC135" s="18">
        <v>1184710.35417438</v>
      </c>
      <c r="AD135" s="18">
        <v>84745.936559115304</v>
      </c>
      <c r="AE135" s="18">
        <v>69.258058556065095</v>
      </c>
      <c r="AF135" s="18">
        <v>3.6526674813043098</v>
      </c>
      <c r="AG135" s="18">
        <v>6.3215115229359593E-5</v>
      </c>
      <c r="AH135" s="18">
        <v>1.2104857188425E-6</v>
      </c>
      <c r="AI135" s="18">
        <v>211.48167579751799</v>
      </c>
      <c r="AJ135" s="18">
        <v>11.772595629815701</v>
      </c>
      <c r="AL135" s="18">
        <v>0.61654725336530403</v>
      </c>
      <c r="AM135" s="18">
        <v>0.28232203231870101</v>
      </c>
    </row>
    <row r="136" spans="1:39" x14ac:dyDescent="0.2">
      <c r="A136" s="18" t="s">
        <v>416</v>
      </c>
      <c r="B136" s="18">
        <v>0.14390047860567401</v>
      </c>
      <c r="C136" s="18">
        <v>3.34687071613103E-3</v>
      </c>
      <c r="D136" s="18">
        <v>7.2982937614778903E-3</v>
      </c>
      <c r="E136" s="18">
        <v>865.67675285233895</v>
      </c>
      <c r="F136" s="18">
        <v>18.8217718898232</v>
      </c>
      <c r="G136" s="18">
        <v>41.0433602055151</v>
      </c>
      <c r="H136" s="18">
        <v>17.811630653684599</v>
      </c>
      <c r="I136" s="18">
        <v>0.400700330438927</v>
      </c>
      <c r="J136" s="18">
        <v>1.1529860109049299</v>
      </c>
      <c r="K136" s="18">
        <v>2971.0456943545501</v>
      </c>
      <c r="L136" s="18">
        <v>21.9673957637679</v>
      </c>
      <c r="M136" s="18">
        <v>63.209581044997499</v>
      </c>
      <c r="N136" s="18">
        <v>-966405.48130007403</v>
      </c>
      <c r="O136" s="18">
        <v>94412.949798593501</v>
      </c>
      <c r="P136" s="18">
        <v>100070.87972148899</v>
      </c>
      <c r="Q136" s="18">
        <v>110750.11273766001</v>
      </c>
      <c r="R136" s="18">
        <v>3717.1529803346798</v>
      </c>
      <c r="S136" s="18">
        <v>3939.9125818541902</v>
      </c>
      <c r="T136" s="18">
        <v>0.90169710005612203</v>
      </c>
      <c r="U136" s="18">
        <v>1.52618682638745E-2</v>
      </c>
      <c r="V136" s="18">
        <v>3.9605837310189199E-2</v>
      </c>
      <c r="W136" s="18">
        <v>4900.3127760121897</v>
      </c>
      <c r="X136" s="18">
        <v>20.353489068619499</v>
      </c>
      <c r="Y136" s="18">
        <v>52.819023386185002</v>
      </c>
      <c r="Z136" s="18">
        <v>7.0652541696173801</v>
      </c>
      <c r="AA136" s="18">
        <v>0.16561673660698101</v>
      </c>
      <c r="AB136" s="18">
        <v>0.36114917428670001</v>
      </c>
      <c r="AC136" s="18">
        <v>-2602342.7475193101</v>
      </c>
      <c r="AD136" s="18">
        <v>214330.73942836499</v>
      </c>
      <c r="AE136" s="18">
        <v>71.244388202757605</v>
      </c>
      <c r="AF136" s="18">
        <v>3.2858986685424099</v>
      </c>
      <c r="AG136" s="18">
        <v>-3.0925073131824103E-5</v>
      </c>
      <c r="AH136" s="18">
        <v>8.6225875266255401E-7</v>
      </c>
      <c r="AI136" s="18">
        <v>220.51058538731499</v>
      </c>
      <c r="AJ136" s="18">
        <v>12.0334074334004</v>
      </c>
      <c r="AL136" s="18">
        <v>0.70905279412301403</v>
      </c>
      <c r="AM136" s="18">
        <v>0.447496131576329</v>
      </c>
    </row>
    <row r="137" spans="1:39" x14ac:dyDescent="0.2">
      <c r="A137" s="18" t="s">
        <v>417</v>
      </c>
      <c r="B137" s="18">
        <v>0.14349769040381399</v>
      </c>
      <c r="C137" s="18">
        <v>3.3073109563582599E-3</v>
      </c>
      <c r="D137" s="18">
        <v>7.26420059309017E-3</v>
      </c>
      <c r="E137" s="18">
        <v>863.431083188608</v>
      </c>
      <c r="F137" s="18">
        <v>18.581870487834902</v>
      </c>
      <c r="G137" s="18">
        <v>40.813348487523598</v>
      </c>
      <c r="H137" s="18">
        <v>17.951759822341302</v>
      </c>
      <c r="I137" s="18">
        <v>0.377524893304655</v>
      </c>
      <c r="J137" s="18">
        <v>1.1532708896674899</v>
      </c>
      <c r="K137" s="18">
        <v>2979.7560497570298</v>
      </c>
      <c r="L137" s="18">
        <v>20.334304005628301</v>
      </c>
      <c r="M137" s="18">
        <v>62.117654457333401</v>
      </c>
      <c r="N137" s="18">
        <v>556330.50855644001</v>
      </c>
      <c r="O137" s="18">
        <v>69348.532054708994</v>
      </c>
      <c r="P137" s="18">
        <v>71929.624250698995</v>
      </c>
      <c r="Q137" s="18">
        <v>263581.47541464702</v>
      </c>
      <c r="R137" s="18">
        <v>2346.8313408222798</v>
      </c>
      <c r="S137" s="18">
        <v>2434.1783672066699</v>
      </c>
      <c r="T137" s="18">
        <v>0.91432636398667999</v>
      </c>
      <c r="U137" s="18">
        <v>1.50693346752618E-2</v>
      </c>
      <c r="V137" s="18">
        <v>4.0014773118950901E-2</v>
      </c>
      <c r="W137" s="18">
        <v>4903.83975572504</v>
      </c>
      <c r="X137" s="18">
        <v>27.867140930016401</v>
      </c>
      <c r="Y137" s="18">
        <v>73.997780646481004</v>
      </c>
      <c r="Z137" s="18">
        <v>7.0791834536237701</v>
      </c>
      <c r="AA137" s="18">
        <v>0.15966706497095101</v>
      </c>
      <c r="AB137" s="18">
        <v>0.35069384263041498</v>
      </c>
      <c r="AC137" s="18">
        <v>1504187.1014976599</v>
      </c>
      <c r="AD137" s="18">
        <v>169788.803512952</v>
      </c>
      <c r="AE137" s="18">
        <v>70.415146470488494</v>
      </c>
      <c r="AF137" s="18">
        <v>3.34118348758461</v>
      </c>
      <c r="AG137" s="18">
        <v>5.93176592112079E-5</v>
      </c>
      <c r="AH137" s="18">
        <v>2.9154660643644999E-6</v>
      </c>
      <c r="AI137" s="18">
        <v>218.536802664314</v>
      </c>
      <c r="AJ137" s="18">
        <v>11.5061997898302</v>
      </c>
      <c r="AL137" s="18">
        <v>0.72258492291216403</v>
      </c>
      <c r="AM137" s="18">
        <v>0.50430723334688499</v>
      </c>
    </row>
    <row r="138" spans="1:39" x14ac:dyDescent="0.2">
      <c r="A138" s="18" t="s">
        <v>418</v>
      </c>
      <c r="B138" s="18">
        <v>0.14398340275131699</v>
      </c>
      <c r="C138" s="18">
        <v>3.7237652203585899E-3</v>
      </c>
      <c r="D138" s="18">
        <v>7.4818816493435504E-3</v>
      </c>
      <c r="E138" s="18">
        <v>865.90796158442902</v>
      </c>
      <c r="F138" s="18">
        <v>20.9064476673325</v>
      </c>
      <c r="G138" s="18">
        <v>42.005754363889103</v>
      </c>
      <c r="H138" s="18">
        <v>18.2235172066428</v>
      </c>
      <c r="I138" s="18">
        <v>0.41170971411422802</v>
      </c>
      <c r="J138" s="18">
        <v>1.1801827294538001</v>
      </c>
      <c r="K138" s="18">
        <v>2993.1644359050802</v>
      </c>
      <c r="L138" s="18">
        <v>21.667961347192101</v>
      </c>
      <c r="M138" s="18">
        <v>62.1120971591493</v>
      </c>
      <c r="N138" s="18">
        <v>-136841.18775939799</v>
      </c>
      <c r="O138" s="18">
        <v>20435.4841879667</v>
      </c>
      <c r="P138" s="18">
        <v>20968.326697670302</v>
      </c>
      <c r="Q138" s="18">
        <v>103203.024827813</v>
      </c>
      <c r="R138" s="18">
        <v>9504.1517223073006</v>
      </c>
      <c r="S138" s="18">
        <v>9751.9665531053506</v>
      </c>
      <c r="T138" s="18">
        <v>0.92345253420449602</v>
      </c>
      <c r="U138" s="18">
        <v>1.5915880574309201E-2</v>
      </c>
      <c r="V138" s="18">
        <v>4.0688143132502901E-2</v>
      </c>
      <c r="W138" s="18">
        <v>4921.0620302630396</v>
      </c>
      <c r="X138" s="18">
        <v>21.3351007791521</v>
      </c>
      <c r="Y138" s="18">
        <v>54.542105301402202</v>
      </c>
      <c r="Z138" s="18">
        <v>7.0678906837432001</v>
      </c>
      <c r="AA138" s="18">
        <v>0.17642802690982601</v>
      </c>
      <c r="AB138" s="18">
        <v>0.35448357746877501</v>
      </c>
      <c r="AC138" s="18">
        <v>-370656.10221434</v>
      </c>
      <c r="AD138" s="18">
        <v>52040.113855959302</v>
      </c>
      <c r="AE138" s="18">
        <v>69.950411524039893</v>
      </c>
      <c r="AF138" s="18">
        <v>3.1247428026380999</v>
      </c>
      <c r="AG138" s="18">
        <v>-2.9020724050202298E-4</v>
      </c>
      <c r="AH138" s="18">
        <v>2.30130425760341E-5</v>
      </c>
      <c r="AI138" s="18">
        <v>221.057353236495</v>
      </c>
      <c r="AJ138" s="18">
        <v>11.841788985318001</v>
      </c>
      <c r="AL138" s="18">
        <v>0.74602265886722197</v>
      </c>
      <c r="AM138" s="18">
        <v>0.55704547754880196</v>
      </c>
    </row>
    <row r="140" spans="1:39" s="16" customFormat="1" x14ac:dyDescent="0.2">
      <c r="A140" s="16" t="s">
        <v>154</v>
      </c>
    </row>
    <row r="141" spans="1:39" x14ac:dyDescent="0.2">
      <c r="A141" s="18" t="s">
        <v>419</v>
      </c>
      <c r="B141" s="18">
        <v>4.7401151561925203E-2</v>
      </c>
      <c r="C141" s="18">
        <v>1.0516807045580401E-3</v>
      </c>
      <c r="D141" s="18">
        <v>2.3816393692266298E-3</v>
      </c>
      <c r="E141" s="18">
        <v>298.42765623928199</v>
      </c>
      <c r="F141" s="18">
        <v>6.4761322301924196</v>
      </c>
      <c r="G141" s="18">
        <v>14.665869035056</v>
      </c>
      <c r="H141" s="18">
        <v>0.33298916622664299</v>
      </c>
      <c r="I141" s="18">
        <v>2.82289287039807E-2</v>
      </c>
      <c r="J141" s="18">
        <v>3.4737137546776903E-2</v>
      </c>
      <c r="K141" s="18">
        <v>283.59320333777498</v>
      </c>
      <c r="L141" s="18">
        <v>21.424916291175698</v>
      </c>
      <c r="M141" s="18">
        <v>26.364453002773701</v>
      </c>
      <c r="N141" s="18">
        <v>1.4640195487528301E-2</v>
      </c>
      <c r="O141" s="18">
        <v>1.31478131019011E-3</v>
      </c>
      <c r="P141" s="18">
        <v>1.4075374104260999E-3</v>
      </c>
      <c r="Q141" s="18">
        <v>293.14811818880997</v>
      </c>
      <c r="R141" s="18">
        <v>26.1379085356971</v>
      </c>
      <c r="S141" s="18">
        <v>27.9819037654024</v>
      </c>
      <c r="T141" s="18">
        <v>5.14252105825889E-2</v>
      </c>
      <c r="U141" s="18">
        <v>4.53498481378073E-3</v>
      </c>
      <c r="V141" s="18">
        <v>4.9910819674133799E-3</v>
      </c>
      <c r="W141" s="18">
        <v>146.629860004649</v>
      </c>
      <c r="X141" s="18">
        <v>196.83805029606799</v>
      </c>
      <c r="Y141" s="18">
        <v>216.63464899554501</v>
      </c>
      <c r="Z141" s="18">
        <v>21.4154764887917</v>
      </c>
      <c r="AA141" s="18">
        <v>0.49917539735674499</v>
      </c>
      <c r="AB141" s="18">
        <v>1.13043414540326</v>
      </c>
      <c r="AC141" s="18">
        <v>1.8559855403085099</v>
      </c>
      <c r="AD141" s="18">
        <v>2.0674727774487499E-2</v>
      </c>
      <c r="AE141" s="18">
        <v>37.918922093294299</v>
      </c>
      <c r="AF141" s="18">
        <v>0.52041305890793998</v>
      </c>
      <c r="AG141" s="18">
        <v>19.865497508814599</v>
      </c>
      <c r="AH141" s="18">
        <v>0.31550042059009897</v>
      </c>
      <c r="AI141" s="18">
        <v>2.8204850152788898</v>
      </c>
      <c r="AJ141" s="18">
        <v>0.257414239832298</v>
      </c>
      <c r="AL141" s="18">
        <v>-3.2497662097215198E-2</v>
      </c>
      <c r="AM141" s="18">
        <v>0.32217268798411303</v>
      </c>
    </row>
    <row r="142" spans="1:39" x14ac:dyDescent="0.2">
      <c r="A142" s="18" t="s">
        <v>420</v>
      </c>
      <c r="B142" s="18">
        <v>4.73600841258714E-2</v>
      </c>
      <c r="C142" s="18">
        <v>9.1820019854776296E-4</v>
      </c>
      <c r="D142" s="18">
        <v>2.3239040945453298E-3</v>
      </c>
      <c r="E142" s="18">
        <v>298.20325211660901</v>
      </c>
      <c r="F142" s="18">
        <v>5.6476662371614301</v>
      </c>
      <c r="G142" s="18">
        <v>14.2938704586679</v>
      </c>
      <c r="H142" s="18">
        <v>0.32944669798694198</v>
      </c>
      <c r="I142" s="18">
        <v>2.8122293491602099E-2</v>
      </c>
      <c r="J142" s="18">
        <v>3.4525165298347898E-2</v>
      </c>
      <c r="K142" s="18">
        <v>286.15618312590101</v>
      </c>
      <c r="L142" s="18">
        <v>23.009393804106399</v>
      </c>
      <c r="M142" s="18">
        <v>28.2481627872485</v>
      </c>
      <c r="N142" s="18">
        <v>1.45195697212062E-2</v>
      </c>
      <c r="O142" s="18">
        <v>1.4587821622794399E-3</v>
      </c>
      <c r="P142" s="18">
        <v>1.5415607566419099E-3</v>
      </c>
      <c r="Q142" s="18">
        <v>290.60166218066701</v>
      </c>
      <c r="R142" s="18">
        <v>29.018094253253501</v>
      </c>
      <c r="S142" s="18">
        <v>30.6647260228719</v>
      </c>
      <c r="T142" s="18">
        <v>5.1902775466114902E-2</v>
      </c>
      <c r="U142" s="18">
        <v>4.6495073673130998E-3</v>
      </c>
      <c r="V142" s="18">
        <v>5.1033186227728298E-3</v>
      </c>
      <c r="W142" s="18">
        <v>203.03236811644601</v>
      </c>
      <c r="X142" s="18">
        <v>191.93796704251901</v>
      </c>
      <c r="Y142" s="18">
        <v>210.67191085908499</v>
      </c>
      <c r="Z142" s="18">
        <v>21.335096864004601</v>
      </c>
      <c r="AA142" s="18">
        <v>0.42281568109756401</v>
      </c>
      <c r="AB142" s="18">
        <v>1.07011857990737</v>
      </c>
      <c r="AC142" s="18">
        <v>1.91587991144147</v>
      </c>
      <c r="AD142" s="18">
        <v>2.4219432909180501E-2</v>
      </c>
      <c r="AE142" s="18">
        <v>36.3447568740023</v>
      </c>
      <c r="AF142" s="18">
        <v>0.64499076296955005</v>
      </c>
      <c r="AG142" s="18">
        <v>18.400102069712901</v>
      </c>
      <c r="AH142" s="18">
        <v>0.34263728462800902</v>
      </c>
      <c r="AI142" s="18">
        <v>2.6128663551512501</v>
      </c>
      <c r="AJ142" s="18">
        <v>0.26245331389687998</v>
      </c>
      <c r="AL142" s="18">
        <v>-6.8778797821285695E-2</v>
      </c>
      <c r="AM142" s="18">
        <v>0.27458912173198202</v>
      </c>
    </row>
    <row r="143" spans="1:39" x14ac:dyDescent="0.2">
      <c r="A143" s="18" t="s">
        <v>421</v>
      </c>
      <c r="B143" s="18">
        <v>4.7925563415669302E-2</v>
      </c>
      <c r="C143" s="18">
        <v>8.4451913462437204E-4</v>
      </c>
      <c r="D143" s="18">
        <v>2.3195177248361001E-3</v>
      </c>
      <c r="E143" s="18">
        <v>301.69730294487101</v>
      </c>
      <c r="F143" s="18">
        <v>5.1919643548652301</v>
      </c>
      <c r="G143" s="18">
        <v>14.2600124190005</v>
      </c>
      <c r="H143" s="18">
        <v>0.36650237612592501</v>
      </c>
      <c r="I143" s="18">
        <v>2.5854782288594998E-2</v>
      </c>
      <c r="J143" s="18">
        <v>3.4130814090110401E-2</v>
      </c>
      <c r="K143" s="18">
        <v>310.50555617351603</v>
      </c>
      <c r="L143" s="18">
        <v>19.157347028624301</v>
      </c>
      <c r="M143" s="18">
        <v>25.2895515651715</v>
      </c>
      <c r="N143" s="18">
        <v>1.4288177798701601E-2</v>
      </c>
      <c r="O143" s="18">
        <v>1.00824882628991E-3</v>
      </c>
      <c r="P143" s="18">
        <v>1.1211933656687101E-3</v>
      </c>
      <c r="Q143" s="18">
        <v>286.39057519946601</v>
      </c>
      <c r="R143" s="18">
        <v>20.075366467916499</v>
      </c>
      <c r="S143" s="18">
        <v>22.3242190918494</v>
      </c>
      <c r="T143" s="18">
        <v>5.5978127549369698E-2</v>
      </c>
      <c r="U143" s="18">
        <v>4.0648537745466501E-3</v>
      </c>
      <c r="V143" s="18">
        <v>4.6552112455625402E-3</v>
      </c>
      <c r="W143" s="18">
        <v>249.50089774067601</v>
      </c>
      <c r="X143" s="18">
        <v>174.394255681895</v>
      </c>
      <c r="Y143" s="18">
        <v>199.722338179904</v>
      </c>
      <c r="Z143" s="18">
        <v>21.0027456802109</v>
      </c>
      <c r="AA143" s="18">
        <v>0.36005007978239101</v>
      </c>
      <c r="AB143" s="18">
        <v>0.98889712221306303</v>
      </c>
      <c r="AC143" s="18">
        <v>1.52512466326517</v>
      </c>
      <c r="AD143" s="18">
        <v>1.90092191325218E-2</v>
      </c>
      <c r="AE143" s="18">
        <v>53.669183074176203</v>
      </c>
      <c r="AF143" s="18">
        <v>0.48371369974811401</v>
      </c>
      <c r="AG143" s="18">
        <v>35.181025408485802</v>
      </c>
      <c r="AH143" s="18">
        <v>0.37291148315137401</v>
      </c>
      <c r="AI143" s="18">
        <v>4.5785222559228202</v>
      </c>
      <c r="AJ143" s="18">
        <v>0.322457878671359</v>
      </c>
      <c r="AL143" s="18">
        <v>6.2073416945630698E-2</v>
      </c>
      <c r="AM143" s="18">
        <v>0.20814453077605299</v>
      </c>
    </row>
    <row r="144" spans="1:39" x14ac:dyDescent="0.2">
      <c r="A144" s="18" t="s">
        <v>422</v>
      </c>
      <c r="B144" s="18">
        <v>4.7267837037941303E-2</v>
      </c>
      <c r="C144" s="18">
        <v>7.68697553167783E-4</v>
      </c>
      <c r="D144" s="18">
        <v>2.2654084968614899E-3</v>
      </c>
      <c r="E144" s="18">
        <v>298.27098468164502</v>
      </c>
      <c r="F144" s="18">
        <v>4.8655249650482197</v>
      </c>
      <c r="G144" s="18">
        <v>14.339061640158601</v>
      </c>
      <c r="H144" s="18">
        <v>0.354086238885155</v>
      </c>
      <c r="I144" s="18">
        <v>2.4905979312423301E-2</v>
      </c>
      <c r="J144" s="18">
        <v>3.2919260798244303E-2</v>
      </c>
      <c r="K144" s="18">
        <v>301.57184112203299</v>
      </c>
      <c r="L144" s="18">
        <v>18.670099907460301</v>
      </c>
      <c r="M144" s="18">
        <v>24.6770416161228</v>
      </c>
      <c r="N144" s="18">
        <v>1.4200340076339199E-2</v>
      </c>
      <c r="O144" s="18">
        <v>9.875294487011561E-4</v>
      </c>
      <c r="P144" s="18">
        <v>1.1012621966134399E-3</v>
      </c>
      <c r="Q144" s="18">
        <v>284.65489861192799</v>
      </c>
      <c r="R144" s="18">
        <v>19.659408456747599</v>
      </c>
      <c r="S144" s="18">
        <v>21.923562248876799</v>
      </c>
      <c r="T144" s="18">
        <v>5.4644483975616602E-2</v>
      </c>
      <c r="U144" s="18">
        <v>3.8812196933692002E-3</v>
      </c>
      <c r="V144" s="18">
        <v>4.4687501613434903E-3</v>
      </c>
      <c r="W144" s="18">
        <v>78.419427958850207</v>
      </c>
      <c r="X144" s="18">
        <v>207.35448289501801</v>
      </c>
      <c r="Y144" s="18">
        <v>238.74334670502299</v>
      </c>
      <c r="Z144" s="18">
        <v>21.2712071770707</v>
      </c>
      <c r="AA144" s="18">
        <v>0.34907918907500002</v>
      </c>
      <c r="AB144" s="18">
        <v>1.028762167577</v>
      </c>
      <c r="AC144" s="18">
        <v>1.37006887185198</v>
      </c>
      <c r="AD144" s="18">
        <v>1.2682330752810901E-2</v>
      </c>
      <c r="AE144" s="18">
        <v>71.609083748322206</v>
      </c>
      <c r="AF144" s="18">
        <v>0.79449053227734401</v>
      </c>
      <c r="AG144" s="18">
        <v>52.066855492699403</v>
      </c>
      <c r="AH144" s="18">
        <v>0.63781374768394705</v>
      </c>
      <c r="AI144" s="18">
        <v>6.6946073210650701</v>
      </c>
      <c r="AJ144" s="18">
        <v>0.46023029471772497</v>
      </c>
      <c r="AL144" s="18">
        <v>5.8966269616679598E-2</v>
      </c>
      <c r="AM144" s="18">
        <v>0.161642818526093</v>
      </c>
    </row>
    <row r="145" spans="1:39" x14ac:dyDescent="0.2">
      <c r="A145" s="18" t="s">
        <v>423</v>
      </c>
      <c r="B145" s="18">
        <v>4.63714349930964E-2</v>
      </c>
      <c r="C145" s="18">
        <v>8.9693298806101205E-4</v>
      </c>
      <c r="D145" s="18">
        <v>2.2745031644739902E-3</v>
      </c>
      <c r="E145" s="18">
        <v>292.11919521374</v>
      </c>
      <c r="F145" s="18">
        <v>5.5270170311604199</v>
      </c>
      <c r="G145" s="18">
        <v>14.0157825554531</v>
      </c>
      <c r="H145" s="18">
        <v>0.34849239036058199</v>
      </c>
      <c r="I145" s="18">
        <v>3.07246312273841E-2</v>
      </c>
      <c r="J145" s="18">
        <v>3.7321067821616698E-2</v>
      </c>
      <c r="K145" s="18">
        <v>294.08737797089401</v>
      </c>
      <c r="L145" s="18">
        <v>22.960507290403399</v>
      </c>
      <c r="M145" s="18">
        <v>27.890022290654102</v>
      </c>
      <c r="N145" s="18">
        <v>1.4895607264727599E-2</v>
      </c>
      <c r="O145" s="18">
        <v>1.1812681370623099E-3</v>
      </c>
      <c r="P145" s="18">
        <v>1.28716441672618E-3</v>
      </c>
      <c r="Q145" s="18">
        <v>298.354768082058</v>
      </c>
      <c r="R145" s="18">
        <v>23.477423773525601</v>
      </c>
      <c r="S145" s="18">
        <v>25.582087190496502</v>
      </c>
      <c r="T145" s="18">
        <v>5.4823684921324403E-2</v>
      </c>
      <c r="U145" s="18">
        <v>4.8556166152589099E-3</v>
      </c>
      <c r="V145" s="18">
        <v>5.3399434717217604E-3</v>
      </c>
      <c r="W145" s="18">
        <v>257.12716236935103</v>
      </c>
      <c r="X145" s="18">
        <v>209.52610819422799</v>
      </c>
      <c r="Y145" s="18">
        <v>230.425435585461</v>
      </c>
      <c r="Z145" s="18">
        <v>21.7009760155862</v>
      </c>
      <c r="AA145" s="18">
        <v>0.43590704467788999</v>
      </c>
      <c r="AB145" s="18">
        <v>1.1054024835007199</v>
      </c>
      <c r="AC145" s="18">
        <v>1.68708164918533</v>
      </c>
      <c r="AD145" s="18">
        <v>2.25807504599735E-2</v>
      </c>
      <c r="AE145" s="18">
        <v>45.9634071106737</v>
      </c>
      <c r="AF145" s="18">
        <v>0.37014582539706498</v>
      </c>
      <c r="AG145" s="18">
        <v>27.078237503179398</v>
      </c>
      <c r="AH145" s="18">
        <v>0.326051397305472</v>
      </c>
      <c r="AI145" s="18">
        <v>3.77290672602021</v>
      </c>
      <c r="AJ145" s="18">
        <v>0.29879211506291198</v>
      </c>
      <c r="AL145" s="18">
        <v>5.5839354689021299E-2</v>
      </c>
      <c r="AM145" s="18">
        <v>0.20158207090070801</v>
      </c>
    </row>
    <row r="146" spans="1:39" x14ac:dyDescent="0.2">
      <c r="A146" s="18" t="s">
        <v>424</v>
      </c>
      <c r="B146" s="18">
        <v>4.7657914519927902E-2</v>
      </c>
      <c r="C146" s="18">
        <v>1.07437485714316E-3</v>
      </c>
      <c r="D146" s="18">
        <v>2.4018569793065598E-3</v>
      </c>
      <c r="E146" s="18">
        <v>300.00274810917301</v>
      </c>
      <c r="F146" s="18">
        <v>6.6098526098663104</v>
      </c>
      <c r="G146" s="18">
        <v>14.776891433787201</v>
      </c>
      <c r="H146" s="18">
        <v>0.329663951830583</v>
      </c>
      <c r="I146" s="18">
        <v>3.1411507722366602E-2</v>
      </c>
      <c r="J146" s="18">
        <v>3.7260407711297003E-2</v>
      </c>
      <c r="K146" s="18">
        <v>282.05703615053102</v>
      </c>
      <c r="L146" s="18">
        <v>24.414367999996799</v>
      </c>
      <c r="M146" s="18">
        <v>28.960383364399199</v>
      </c>
      <c r="N146" s="18">
        <v>1.4903933678298901E-2</v>
      </c>
      <c r="O146" s="18">
        <v>1.58997015423262E-3</v>
      </c>
      <c r="P146" s="18">
        <v>1.67023797532672E-3</v>
      </c>
      <c r="Q146" s="18">
        <v>298.11665611911798</v>
      </c>
      <c r="R146" s="18">
        <v>31.5849464551899</v>
      </c>
      <c r="S146" s="18">
        <v>33.1794762799057</v>
      </c>
      <c r="T146" s="18">
        <v>5.0145768483405899E-2</v>
      </c>
      <c r="U146" s="18">
        <v>4.7933658705451403E-3</v>
      </c>
      <c r="V146" s="18">
        <v>5.2064973103475801E-3</v>
      </c>
      <c r="W146" s="18">
        <v>-115.703364834832</v>
      </c>
      <c r="X146" s="18">
        <v>273.44756747364403</v>
      </c>
      <c r="Y146" s="18">
        <v>297.01551332043499</v>
      </c>
      <c r="Z146" s="18">
        <v>21.173388225853799</v>
      </c>
      <c r="AA146" s="18">
        <v>0.46274223705282902</v>
      </c>
      <c r="AB146" s="18">
        <v>1.03449989014139</v>
      </c>
      <c r="AC146" s="18">
        <v>1.92698271519453</v>
      </c>
      <c r="AD146" s="18">
        <v>2.2817166089961299E-2</v>
      </c>
      <c r="AE146" s="18">
        <v>36.990537078675402</v>
      </c>
      <c r="AF146" s="18">
        <v>0.60126172228580799</v>
      </c>
      <c r="AG146" s="18">
        <v>19.059175904862201</v>
      </c>
      <c r="AH146" s="18">
        <v>0.32895960960120502</v>
      </c>
      <c r="AI146" s="18">
        <v>2.6913675521657101</v>
      </c>
      <c r="AJ146" s="18">
        <v>0.284456538444889</v>
      </c>
      <c r="AL146" s="18">
        <v>5.5716265233747E-3</v>
      </c>
      <c r="AM146" s="18">
        <v>0.203308125287439</v>
      </c>
    </row>
    <row r="147" spans="1:39" x14ac:dyDescent="0.2">
      <c r="A147" s="18" t="s">
        <v>425</v>
      </c>
      <c r="B147" s="18">
        <v>4.75916526861664E-2</v>
      </c>
      <c r="C147" s="18">
        <v>1.1868444404493301E-3</v>
      </c>
      <c r="D147" s="18">
        <v>2.4516277988499099E-3</v>
      </c>
      <c r="E147" s="18">
        <v>299.56764382441003</v>
      </c>
      <c r="F147" s="18">
        <v>7.3060838063305402</v>
      </c>
      <c r="G147" s="18">
        <v>15.091951017225</v>
      </c>
      <c r="H147" s="18">
        <v>0.333108653873951</v>
      </c>
      <c r="I147" s="18">
        <v>3.2880600978800703E-2</v>
      </c>
      <c r="J147" s="18">
        <v>3.8616430495171203E-2</v>
      </c>
      <c r="K147" s="18">
        <v>281.00045966161002</v>
      </c>
      <c r="L147" s="18">
        <v>24.5354559563431</v>
      </c>
      <c r="M147" s="18">
        <v>28.815523481956099</v>
      </c>
      <c r="N147" s="18">
        <v>1.3885688199097799E-2</v>
      </c>
      <c r="O147" s="18">
        <v>1.4217918231092699E-3</v>
      </c>
      <c r="P147" s="18">
        <v>1.4995486279301201E-3</v>
      </c>
      <c r="Q147" s="18">
        <v>278.00650757673202</v>
      </c>
      <c r="R147" s="18">
        <v>28.287732603606901</v>
      </c>
      <c r="S147" s="18">
        <v>29.834769003122201</v>
      </c>
      <c r="T147" s="18">
        <v>5.0888499221602899E-2</v>
      </c>
      <c r="U147" s="18">
        <v>4.9346623280450697E-3</v>
      </c>
      <c r="V147" s="18">
        <v>5.3484023745423003E-3</v>
      </c>
      <c r="W147" s="18">
        <v>-264.20180682367601</v>
      </c>
      <c r="X147" s="18">
        <v>303.98665305844702</v>
      </c>
      <c r="Y147" s="18">
        <v>329.47400023844398</v>
      </c>
      <c r="Z147" s="18">
        <v>21.3226264174167</v>
      </c>
      <c r="AA147" s="18">
        <v>0.56341204079414897</v>
      </c>
      <c r="AB147" s="18">
        <v>1.1638228013224301</v>
      </c>
      <c r="AC147" s="18">
        <v>1.9631325802836199</v>
      </c>
      <c r="AD147" s="18">
        <v>2.98229442427408E-2</v>
      </c>
      <c r="AE147" s="18">
        <v>36.253333598721099</v>
      </c>
      <c r="AF147" s="18">
        <v>0.72570249131990605</v>
      </c>
      <c r="AG147" s="18">
        <v>18.888784523815001</v>
      </c>
      <c r="AH147" s="18">
        <v>0.38367716966160498</v>
      </c>
      <c r="AI147" s="18">
        <v>2.3020457544688999</v>
      </c>
      <c r="AJ147" s="18">
        <v>0.2237442212804</v>
      </c>
      <c r="AL147" s="18">
        <v>4.3950168141721903E-2</v>
      </c>
      <c r="AM147" s="18">
        <v>0.25845506046789002</v>
      </c>
    </row>
    <row r="148" spans="1:39" x14ac:dyDescent="0.2">
      <c r="A148" s="18" t="s">
        <v>426</v>
      </c>
      <c r="B148" s="18">
        <v>4.6667116951822803E-2</v>
      </c>
      <c r="C148" s="18">
        <v>9.7478007657314297E-4</v>
      </c>
      <c r="D148" s="18">
        <v>2.3184319010303902E-3</v>
      </c>
      <c r="E148" s="18">
        <v>293.925071416337</v>
      </c>
      <c r="F148" s="18">
        <v>5.9997860719122702</v>
      </c>
      <c r="G148" s="18">
        <v>14.2699833149857</v>
      </c>
      <c r="H148" s="18">
        <v>0.333338254366776</v>
      </c>
      <c r="I148" s="18">
        <v>2.8080172111594599E-2</v>
      </c>
      <c r="J148" s="18">
        <v>3.4628529874838297E-2</v>
      </c>
      <c r="K148" s="18">
        <v>286.62861443487998</v>
      </c>
      <c r="L148" s="18">
        <v>21.774287004353901</v>
      </c>
      <c r="M148" s="18">
        <v>26.852098521227902</v>
      </c>
      <c r="N148" s="18">
        <v>1.29472169526938E-2</v>
      </c>
      <c r="O148" s="18">
        <v>1.3038016249145299E-3</v>
      </c>
      <c r="P148" s="18">
        <v>1.3774561029769399E-3</v>
      </c>
      <c r="Q148" s="18">
        <v>259.40337264922101</v>
      </c>
      <c r="R148" s="18">
        <v>25.953163773198401</v>
      </c>
      <c r="S148" s="18">
        <v>27.419312223434101</v>
      </c>
      <c r="T148" s="18">
        <v>5.26516897991803E-2</v>
      </c>
      <c r="U148" s="18">
        <v>4.6487162365224299E-3</v>
      </c>
      <c r="V148" s="18">
        <v>5.1151706861056303E-3</v>
      </c>
      <c r="W148" s="18">
        <v>-21.8579908005185</v>
      </c>
      <c r="X148" s="18">
        <v>238.24162065909701</v>
      </c>
      <c r="Y148" s="18">
        <v>262.14690082209501</v>
      </c>
      <c r="Z148" s="18">
        <v>21.674375224017801</v>
      </c>
      <c r="AA148" s="18">
        <v>0.46838403568481302</v>
      </c>
      <c r="AB148" s="18">
        <v>1.11401178210637</v>
      </c>
      <c r="AC148" s="18">
        <v>2.2317179589343801</v>
      </c>
      <c r="AD148" s="18">
        <v>3.2632762646719202E-2</v>
      </c>
      <c r="AE148" s="18">
        <v>50.052064751902698</v>
      </c>
      <c r="AF148" s="18">
        <v>1.49189820989693</v>
      </c>
      <c r="AG148" s="18">
        <v>23.146120550892402</v>
      </c>
      <c r="AH148" s="18">
        <v>0.60114311424287403</v>
      </c>
      <c r="AI148" s="18">
        <v>2.62352744848633</v>
      </c>
      <c r="AJ148" s="18">
        <v>0.26428742209885298</v>
      </c>
      <c r="AL148" s="18">
        <v>-5.1249995969202197E-2</v>
      </c>
      <c r="AM148" s="18">
        <v>0.26300339198543798</v>
      </c>
    </row>
    <row r="149" spans="1:39" x14ac:dyDescent="0.2">
      <c r="A149" s="18" t="s">
        <v>427</v>
      </c>
      <c r="B149" s="18">
        <v>4.54762824789013E-2</v>
      </c>
      <c r="C149" s="18">
        <v>1.07261164114123E-3</v>
      </c>
      <c r="D149" s="18">
        <v>2.3136174431810101E-3</v>
      </c>
      <c r="E149" s="18">
        <v>286.56485977997397</v>
      </c>
      <c r="F149" s="18">
        <v>6.6064351676068602</v>
      </c>
      <c r="G149" s="18">
        <v>14.2500445219457</v>
      </c>
      <c r="H149" s="18">
        <v>0.33441209473087602</v>
      </c>
      <c r="I149" s="18">
        <v>3.54435115301679E-2</v>
      </c>
      <c r="J149" s="18">
        <v>4.0859933235869401E-2</v>
      </c>
      <c r="K149" s="18">
        <v>280.09180643155702</v>
      </c>
      <c r="L149" s="18">
        <v>26.6508128271925</v>
      </c>
      <c r="M149" s="18">
        <v>30.7235481414947</v>
      </c>
      <c r="N149" s="18">
        <v>1.6035220768412899E-2</v>
      </c>
      <c r="O149" s="18">
        <v>1.5748062389832199E-3</v>
      </c>
      <c r="P149" s="18">
        <v>1.6682131801144301E-3</v>
      </c>
      <c r="Q149" s="18">
        <v>320.65249466969402</v>
      </c>
      <c r="R149" s="18">
        <v>31.270150494548201</v>
      </c>
      <c r="S149" s="18">
        <v>33.124886038581998</v>
      </c>
      <c r="T149" s="18">
        <v>5.4508179288045598E-2</v>
      </c>
      <c r="U149" s="18">
        <v>6.2017693329997799E-3</v>
      </c>
      <c r="V149" s="18">
        <v>6.5835372857809401E-3</v>
      </c>
      <c r="W149" s="18">
        <v>-150.48428602144699</v>
      </c>
      <c r="X149" s="18">
        <v>309.70627275367099</v>
      </c>
      <c r="Y149" s="18">
        <v>328.77114333560598</v>
      </c>
      <c r="Z149" s="18">
        <v>22.3586597969406</v>
      </c>
      <c r="AA149" s="18">
        <v>0.53288591199501001</v>
      </c>
      <c r="AB149" s="18">
        <v>1.1494319974984699</v>
      </c>
      <c r="AC149" s="18">
        <v>1.9188726404201499</v>
      </c>
      <c r="AD149" s="18">
        <v>2.83416920459135E-2</v>
      </c>
      <c r="AE149" s="18">
        <v>38.541302070372801</v>
      </c>
      <c r="AF149" s="18">
        <v>0.77780354303485599</v>
      </c>
      <c r="AG149" s="18">
        <v>19.913104247564</v>
      </c>
      <c r="AH149" s="18">
        <v>0.44490762243694998</v>
      </c>
      <c r="AI149" s="18">
        <v>3.0626907153071801</v>
      </c>
      <c r="AJ149" s="18">
        <v>0.29799389729131698</v>
      </c>
      <c r="AL149" s="18">
        <v>-4.0472611924946902E-2</v>
      </c>
      <c r="AM149" s="18">
        <v>0.266600490765805</v>
      </c>
    </row>
    <row r="150" spans="1:39" x14ac:dyDescent="0.2">
      <c r="A150" s="18" t="s">
        <v>428</v>
      </c>
      <c r="B150" s="18">
        <v>4.6803692782646601E-2</v>
      </c>
      <c r="C150" s="18">
        <v>9.4198612218257495E-4</v>
      </c>
      <c r="D150" s="18">
        <v>2.3105228643856401E-3</v>
      </c>
      <c r="E150" s="18">
        <v>294.772898216621</v>
      </c>
      <c r="F150" s="18">
        <v>5.7995727875445597</v>
      </c>
      <c r="G150" s="18">
        <v>14.2253109825468</v>
      </c>
      <c r="H150" s="18">
        <v>0.352773128691798</v>
      </c>
      <c r="I150" s="18">
        <v>3.2145289898199002E-2</v>
      </c>
      <c r="J150" s="18">
        <v>3.8642930453091098E-2</v>
      </c>
      <c r="K150" s="18">
        <v>299.22418262839301</v>
      </c>
      <c r="L150" s="18">
        <v>24.4395409249761</v>
      </c>
      <c r="M150" s="18">
        <v>29.379591326138101</v>
      </c>
      <c r="N150" s="18">
        <v>1.53966764556133E-2</v>
      </c>
      <c r="O150" s="18">
        <v>1.4080043025933599E-3</v>
      </c>
      <c r="P150" s="18">
        <v>1.5039131281159E-3</v>
      </c>
      <c r="Q150" s="18">
        <v>308.12248737137901</v>
      </c>
      <c r="R150" s="18">
        <v>27.969070321902802</v>
      </c>
      <c r="S150" s="18">
        <v>29.874235441490999</v>
      </c>
      <c r="T150" s="18">
        <v>5.5028184173776203E-2</v>
      </c>
      <c r="U150" s="18">
        <v>5.1066991856730899E-3</v>
      </c>
      <c r="V150" s="18">
        <v>5.5725858967576002E-3</v>
      </c>
      <c r="W150" s="18">
        <v>76.226585973504001</v>
      </c>
      <c r="X150" s="18">
        <v>260.41243888796498</v>
      </c>
      <c r="Y150" s="18">
        <v>284.16999543630902</v>
      </c>
      <c r="Z150" s="18">
        <v>21.595987046447199</v>
      </c>
      <c r="AA150" s="18">
        <v>0.42974803955830598</v>
      </c>
      <c r="AB150" s="18">
        <v>1.0540947981523701</v>
      </c>
      <c r="AC150" s="18">
        <v>1.96471908227806</v>
      </c>
      <c r="AD150" s="18">
        <v>3.0395681297955598E-2</v>
      </c>
      <c r="AE150" s="18">
        <v>47.871505580265499</v>
      </c>
      <c r="AF150" s="18">
        <v>1.79838235602755</v>
      </c>
      <c r="AG150" s="18">
        <v>23.9492957194783</v>
      </c>
      <c r="AH150" s="18">
        <v>0.71384178593704894</v>
      </c>
      <c r="AI150" s="18">
        <v>3.5714515558343898</v>
      </c>
      <c r="AJ150" s="18">
        <v>0.33278708527630402</v>
      </c>
      <c r="AL150" s="18">
        <v>-9.2526327300207004E-2</v>
      </c>
      <c r="AM150" s="18">
        <v>0.34201703242142101</v>
      </c>
    </row>
    <row r="151" spans="1:39" x14ac:dyDescent="0.2">
      <c r="A151" s="18" t="s">
        <v>429</v>
      </c>
      <c r="B151" s="18">
        <v>4.6757931786949002E-2</v>
      </c>
      <c r="C151" s="18">
        <v>8.09236940189133E-4</v>
      </c>
      <c r="D151" s="18">
        <v>2.2577498200239401E-3</v>
      </c>
      <c r="E151" s="18">
        <v>294.51604244888699</v>
      </c>
      <c r="F151" s="18">
        <v>4.9821004830854898</v>
      </c>
      <c r="G151" s="18">
        <v>13.8999295637672</v>
      </c>
      <c r="H151" s="18">
        <v>0.33901005799441197</v>
      </c>
      <c r="I151" s="18">
        <v>2.7262557978162402E-2</v>
      </c>
      <c r="J151" s="18">
        <v>3.4175840205376701E-2</v>
      </c>
      <c r="K151" s="18">
        <v>288.78312488181302</v>
      </c>
      <c r="L151" s="18">
        <v>20.618952137911901</v>
      </c>
      <c r="M151" s="18">
        <v>25.847538372299301</v>
      </c>
      <c r="N151" s="18">
        <v>1.5137208606840299E-2</v>
      </c>
      <c r="O151" s="18">
        <v>9.4739686306546803E-4</v>
      </c>
      <c r="P151" s="18">
        <v>1.0805108959190601E-3</v>
      </c>
      <c r="Q151" s="18">
        <v>303.34326518143001</v>
      </c>
      <c r="R151" s="18">
        <v>18.846260529115799</v>
      </c>
      <c r="S151" s="18">
        <v>21.494255093002</v>
      </c>
      <c r="T151" s="18">
        <v>5.27944330639823E-2</v>
      </c>
      <c r="U151" s="18">
        <v>4.2633529786339896E-3</v>
      </c>
      <c r="V151" s="18">
        <v>4.77025148096438E-3</v>
      </c>
      <c r="W151" s="18">
        <v>146.73277823201499</v>
      </c>
      <c r="X151" s="18">
        <v>189.732386125712</v>
      </c>
      <c r="Y151" s="18">
        <v>212.29093636836899</v>
      </c>
      <c r="Z151" s="18">
        <v>21.562225254540401</v>
      </c>
      <c r="AA151" s="18">
        <v>0.386666489293505</v>
      </c>
      <c r="AB151" s="18">
        <v>1.07878935483057</v>
      </c>
      <c r="AC151" s="18">
        <v>1.0894390474222899</v>
      </c>
      <c r="AD151" s="18">
        <v>1.40885488918781E-2</v>
      </c>
      <c r="AE151" s="18">
        <v>69.324738486737502</v>
      </c>
      <c r="AF151" s="18">
        <v>1.3521847510493501</v>
      </c>
      <c r="AG151" s="18">
        <v>63.445360846313903</v>
      </c>
      <c r="AH151" s="18">
        <v>1.18638002781228</v>
      </c>
      <c r="AI151" s="18">
        <v>8.8070890908323491</v>
      </c>
      <c r="AJ151" s="18">
        <v>0.54102834066466599</v>
      </c>
      <c r="AL151" s="18">
        <v>0.127457607344652</v>
      </c>
      <c r="AM151" s="18">
        <v>0.117057549022408</v>
      </c>
    </row>
    <row r="152" spans="1:39" x14ac:dyDescent="0.2">
      <c r="A152" s="18" t="s">
        <v>430</v>
      </c>
      <c r="B152" s="18">
        <v>4.6225672406312097E-2</v>
      </c>
      <c r="C152" s="18">
        <v>1.0193055244319101E-3</v>
      </c>
      <c r="D152" s="18">
        <v>2.31964201838069E-3</v>
      </c>
      <c r="E152" s="18">
        <v>291.19671197491999</v>
      </c>
      <c r="F152" s="18">
        <v>6.27952909665213</v>
      </c>
      <c r="G152" s="18">
        <v>14.290376338690599</v>
      </c>
      <c r="H152" s="18">
        <v>0.34799110290152302</v>
      </c>
      <c r="I152" s="18">
        <v>3.5525759474230201E-2</v>
      </c>
      <c r="J152" s="18">
        <v>4.1347683076376797E-2</v>
      </c>
      <c r="K152" s="18">
        <v>290.60592929528701</v>
      </c>
      <c r="L152" s="18">
        <v>26.527940284516099</v>
      </c>
      <c r="M152" s="18">
        <v>30.875310867002501</v>
      </c>
      <c r="N152" s="18">
        <v>1.4005393624571099E-2</v>
      </c>
      <c r="O152" s="18">
        <v>1.14539674261408E-3</v>
      </c>
      <c r="P152" s="18">
        <v>1.2421840778479301E-3</v>
      </c>
      <c r="Q152" s="18">
        <v>280.65005867549002</v>
      </c>
      <c r="R152" s="18">
        <v>22.784943151754501</v>
      </c>
      <c r="S152" s="18">
        <v>24.710296917018599</v>
      </c>
      <c r="T152" s="18">
        <v>5.6223103774783997E-2</v>
      </c>
      <c r="U152" s="18">
        <v>5.9275348212275E-3</v>
      </c>
      <c r="V152" s="18">
        <v>6.3505091472895502E-3</v>
      </c>
      <c r="W152" s="18">
        <v>25.369545137683499</v>
      </c>
      <c r="X152" s="18">
        <v>310.67944908579</v>
      </c>
      <c r="Y152" s="18">
        <v>332.84877150424097</v>
      </c>
      <c r="Z152" s="18">
        <v>21.910165980013499</v>
      </c>
      <c r="AA152" s="18">
        <v>0.49342976054201398</v>
      </c>
      <c r="AB152" s="18">
        <v>1.12290219000891</v>
      </c>
      <c r="AC152" s="18">
        <v>1.51320507227237</v>
      </c>
      <c r="AD152" s="18">
        <v>1.8321661548741101E-2</v>
      </c>
      <c r="AE152" s="18">
        <v>51.509286276220202</v>
      </c>
      <c r="AF152" s="18">
        <v>0.81643558714003805</v>
      </c>
      <c r="AG152" s="18">
        <v>34.251792947387997</v>
      </c>
      <c r="AH152" s="18">
        <v>0.63751895287909799</v>
      </c>
      <c r="AI152" s="18">
        <v>4.4899194730459602</v>
      </c>
      <c r="AJ152" s="18">
        <v>0.36171378366495899</v>
      </c>
      <c r="AL152" s="18">
        <v>-9.85245678390929E-2</v>
      </c>
      <c r="AM152" s="18">
        <v>0.32794472091528698</v>
      </c>
    </row>
    <row r="153" spans="1:39" x14ac:dyDescent="0.2">
      <c r="A153" s="18" t="s">
        <v>431</v>
      </c>
      <c r="B153" s="18">
        <v>4.7615639744296799E-2</v>
      </c>
      <c r="C153" s="18">
        <v>1.0526329075253699E-3</v>
      </c>
      <c r="D153" s="18">
        <v>2.3905948328168899E-3</v>
      </c>
      <c r="E153" s="18">
        <v>299.74832891884699</v>
      </c>
      <c r="F153" s="18">
        <v>6.4786372033212603</v>
      </c>
      <c r="G153" s="18">
        <v>14.7133882203676</v>
      </c>
      <c r="H153" s="18">
        <v>0.37182080034658599</v>
      </c>
      <c r="I153" s="18">
        <v>3.5989908190186999E-2</v>
      </c>
      <c r="J153" s="18">
        <v>4.2499549138277998E-2</v>
      </c>
      <c r="K153" s="18">
        <v>308.743333034991</v>
      </c>
      <c r="L153" s="18">
        <v>26.036679934255801</v>
      </c>
      <c r="M153" s="18">
        <v>30.746040040336499</v>
      </c>
      <c r="N153" s="18">
        <v>1.39574027094713E-2</v>
      </c>
      <c r="O153" s="18">
        <v>1.20846397979844E-3</v>
      </c>
      <c r="P153" s="18">
        <v>1.29995615655671E-3</v>
      </c>
      <c r="Q153" s="18">
        <v>279.64051113896898</v>
      </c>
      <c r="R153" s="18">
        <v>24.0449266447729</v>
      </c>
      <c r="S153" s="18">
        <v>25.865355482949798</v>
      </c>
      <c r="T153" s="18">
        <v>5.6798690440997203E-2</v>
      </c>
      <c r="U153" s="18">
        <v>5.6045234681626902E-3</v>
      </c>
      <c r="V153" s="18">
        <v>6.0589348604252503E-3</v>
      </c>
      <c r="W153" s="18">
        <v>61.475589213436599</v>
      </c>
      <c r="X153" s="18">
        <v>266.15355545206302</v>
      </c>
      <c r="Y153" s="18">
        <v>287.73312566452398</v>
      </c>
      <c r="Z153" s="18">
        <v>21.114540350803999</v>
      </c>
      <c r="AA153" s="18">
        <v>0.47202541549718102</v>
      </c>
      <c r="AB153" s="18">
        <v>1.0719990902608301</v>
      </c>
      <c r="AC153" s="18">
        <v>1.50259374421824</v>
      </c>
      <c r="AD153" s="18">
        <v>2.0168814308420002E-2</v>
      </c>
      <c r="AE153" s="18">
        <v>52.138271676337098</v>
      </c>
      <c r="AF153" s="18">
        <v>0.82989938530188001</v>
      </c>
      <c r="AG153" s="18">
        <v>34.545848916529202</v>
      </c>
      <c r="AH153" s="18">
        <v>0.62375245438252602</v>
      </c>
      <c r="AI153" s="18">
        <v>4.4252348188969304</v>
      </c>
      <c r="AJ153" s="18">
        <v>0.37727227427626497</v>
      </c>
      <c r="AL153" s="18">
        <v>-7.6861024799858596E-2</v>
      </c>
      <c r="AM153" s="18">
        <v>0.26243579762278801</v>
      </c>
    </row>
    <row r="154" spans="1:39" x14ac:dyDescent="0.2">
      <c r="A154" s="18" t="s">
        <v>432</v>
      </c>
      <c r="B154" s="18">
        <v>4.6521921749009897E-2</v>
      </c>
      <c r="C154" s="18">
        <v>1.0837029213281201E-3</v>
      </c>
      <c r="D154" s="18">
        <v>2.36046946893081E-3</v>
      </c>
      <c r="E154" s="18">
        <v>293.00635506184699</v>
      </c>
      <c r="F154" s="18">
        <v>6.6833059672824104</v>
      </c>
      <c r="G154" s="18">
        <v>14.5572549236644</v>
      </c>
      <c r="H154" s="18">
        <v>0.321713851618663</v>
      </c>
      <c r="I154" s="18">
        <v>3.2222385925810101E-2</v>
      </c>
      <c r="J154" s="18">
        <v>3.7693368671940002E-2</v>
      </c>
      <c r="K154" s="18">
        <v>275.15017613677998</v>
      </c>
      <c r="L154" s="18">
        <v>24.9746924422336</v>
      </c>
      <c r="M154" s="18">
        <v>29.215101943750899</v>
      </c>
      <c r="N154" s="18">
        <v>1.34055111567883E-2</v>
      </c>
      <c r="O154" s="18">
        <v>1.1859191046821301E-3</v>
      </c>
      <c r="P154" s="18">
        <v>1.27205403136324E-3</v>
      </c>
      <c r="Q154" s="18">
        <v>268.65095188480501</v>
      </c>
      <c r="R154" s="18">
        <v>23.622216396267898</v>
      </c>
      <c r="S154" s="18">
        <v>25.3379302837537</v>
      </c>
      <c r="T154" s="18">
        <v>4.9953838057772502E-2</v>
      </c>
      <c r="U154" s="18">
        <v>5.0262041481842204E-3</v>
      </c>
      <c r="V154" s="18">
        <v>5.4187017299768096E-3</v>
      </c>
      <c r="W154" s="18">
        <v>-194.74936554783</v>
      </c>
      <c r="X154" s="18">
        <v>281.93521860687099</v>
      </c>
      <c r="Y154" s="18">
        <v>303.95161274106903</v>
      </c>
      <c r="Z154" s="18">
        <v>21.550406231074099</v>
      </c>
      <c r="AA154" s="18">
        <v>0.50690767876604603</v>
      </c>
      <c r="AB154" s="18">
        <v>1.1041218730198099</v>
      </c>
      <c r="AC154" s="18">
        <v>1.6553158797173799</v>
      </c>
      <c r="AD154" s="18">
        <v>2.4085450465641499E-2</v>
      </c>
      <c r="AE154" s="18">
        <v>43.849610018103697</v>
      </c>
      <c r="AF154" s="18">
        <v>0.84149620930802804</v>
      </c>
      <c r="AG154" s="18">
        <v>26.983468529143799</v>
      </c>
      <c r="AH154" s="18">
        <v>0.69048241689200096</v>
      </c>
      <c r="AI154" s="18">
        <v>3.35439345340352</v>
      </c>
      <c r="AJ154" s="18">
        <v>0.319364182586793</v>
      </c>
      <c r="AL154" s="18">
        <v>-1.4900747963965E-3</v>
      </c>
      <c r="AM154" s="18">
        <v>0.23426940538789501</v>
      </c>
    </row>
    <row r="155" spans="1:39" x14ac:dyDescent="0.2">
      <c r="A155" s="18" t="s">
        <v>433</v>
      </c>
      <c r="B155" s="18">
        <v>4.7199127829930701E-2</v>
      </c>
      <c r="C155" s="18">
        <v>8.5917905407517203E-4</v>
      </c>
      <c r="D155" s="18">
        <v>2.2944989667382999E-3</v>
      </c>
      <c r="E155" s="18">
        <v>297.22361044527503</v>
      </c>
      <c r="F155" s="18">
        <v>5.2907039427172897</v>
      </c>
      <c r="G155" s="18">
        <v>14.1292023732471</v>
      </c>
      <c r="H155" s="18">
        <v>0.34049433040365601</v>
      </c>
      <c r="I155" s="18">
        <v>2.5078326800737499E-2</v>
      </c>
      <c r="J155" s="18">
        <v>3.2517647103595899E-2</v>
      </c>
      <c r="K155" s="18">
        <v>295.601626665786</v>
      </c>
      <c r="L155" s="18">
        <v>19.736844142572298</v>
      </c>
      <c r="M155" s="18">
        <v>25.591648831530701</v>
      </c>
      <c r="N155" s="18">
        <v>1.4476290547256999E-2</v>
      </c>
      <c r="O155" s="18">
        <v>8.0058089240046305E-4</v>
      </c>
      <c r="P155" s="18">
        <v>9.4224052944367901E-4</v>
      </c>
      <c r="Q155" s="18">
        <v>290.27075592800003</v>
      </c>
      <c r="R155" s="18">
        <v>15.948806265496099</v>
      </c>
      <c r="S155" s="18">
        <v>18.770884744122299</v>
      </c>
      <c r="T155" s="18">
        <v>5.3062024612026401E-2</v>
      </c>
      <c r="U155" s="18">
        <v>4.0012211434096298E-3</v>
      </c>
      <c r="V155" s="18">
        <v>4.5426063690933698E-3</v>
      </c>
      <c r="W155" s="18">
        <v>143.174697738448</v>
      </c>
      <c r="X155" s="18">
        <v>182.2879981618</v>
      </c>
      <c r="Y155" s="18">
        <v>206.95247570181601</v>
      </c>
      <c r="Z155" s="18">
        <v>21.255744602079801</v>
      </c>
      <c r="AA155" s="18">
        <v>0.37609249170444897</v>
      </c>
      <c r="AB155" s="18">
        <v>1.0043818334733201</v>
      </c>
      <c r="AC155" s="18">
        <v>1.0426197922210501</v>
      </c>
      <c r="AD155" s="18">
        <v>8.7198023578873504E-3</v>
      </c>
      <c r="AE155" s="18">
        <v>81.991595415700601</v>
      </c>
      <c r="AF155" s="18">
        <v>1.17865915958806</v>
      </c>
      <c r="AG155" s="18">
        <v>77.391675557639701</v>
      </c>
      <c r="AH155" s="18">
        <v>1.0735337164238301</v>
      </c>
      <c r="AI155" s="18">
        <v>10.562348658544501</v>
      </c>
      <c r="AJ155" s="18">
        <v>0.60447152836658802</v>
      </c>
      <c r="AL155" s="18">
        <v>0.116012097248842</v>
      </c>
      <c r="AM155" s="18">
        <v>0.14133714046509099</v>
      </c>
    </row>
    <row r="156" spans="1:39" x14ac:dyDescent="0.2">
      <c r="A156" s="18" t="s">
        <v>434</v>
      </c>
      <c r="B156" s="18">
        <v>4.7136492403617399E-2</v>
      </c>
      <c r="C156" s="18">
        <v>9.7193650619819801E-4</v>
      </c>
      <c r="D156" s="18">
        <v>2.3365244336192499E-3</v>
      </c>
      <c r="E156" s="18">
        <v>296.81598553037901</v>
      </c>
      <c r="F156" s="18">
        <v>5.9796980964992796</v>
      </c>
      <c r="G156" s="18">
        <v>14.3751269954747</v>
      </c>
      <c r="H156" s="18">
        <v>0.307177631942531</v>
      </c>
      <c r="I156" s="18">
        <v>2.8821952379252998E-2</v>
      </c>
      <c r="J156" s="18">
        <v>3.4343238559336402E-2</v>
      </c>
      <c r="K156" s="18">
        <v>266.079822470203</v>
      </c>
      <c r="L156" s="18">
        <v>22.8938617609601</v>
      </c>
      <c r="M156" s="18">
        <v>27.279531436846401</v>
      </c>
      <c r="N156" s="18">
        <v>1.49224628335295E-2</v>
      </c>
      <c r="O156" s="18">
        <v>1.17708159161379E-3</v>
      </c>
      <c r="P156" s="18">
        <v>1.28368946693585E-3</v>
      </c>
      <c r="Q156" s="18">
        <v>298.89282484195098</v>
      </c>
      <c r="R156" s="18">
        <v>23.405438386793598</v>
      </c>
      <c r="S156" s="18">
        <v>25.5252608996717</v>
      </c>
      <c r="T156" s="18">
        <v>4.7400078102912697E-2</v>
      </c>
      <c r="U156" s="18">
        <v>4.4613234686765304E-3</v>
      </c>
      <c r="V156" s="18">
        <v>4.8574502495672498E-3</v>
      </c>
      <c r="W156" s="18">
        <v>-343.02800734308101</v>
      </c>
      <c r="X156" s="18">
        <v>288.81330188044598</v>
      </c>
      <c r="Y156" s="18">
        <v>314.45741496831801</v>
      </c>
      <c r="Z156" s="18">
        <v>21.3542639417713</v>
      </c>
      <c r="AA156" s="18">
        <v>0.44433699396992099</v>
      </c>
      <c r="AB156" s="18">
        <v>1.0681811379147199</v>
      </c>
      <c r="AC156" s="18">
        <v>1.3785969366950801</v>
      </c>
      <c r="AD156" s="18">
        <v>1.5778618284594099E-2</v>
      </c>
      <c r="AE156" s="18">
        <v>53.2678212855715</v>
      </c>
      <c r="AF156" s="18">
        <v>0.858346684840115</v>
      </c>
      <c r="AG156" s="18">
        <v>38.6108465299844</v>
      </c>
      <c r="AH156" s="18">
        <v>0.67772168155137602</v>
      </c>
      <c r="AI156" s="18">
        <v>5.2752586011303499</v>
      </c>
      <c r="AJ156" s="18">
        <v>0.40116159777664601</v>
      </c>
      <c r="AL156" s="18">
        <v>0.14817708595312801</v>
      </c>
      <c r="AM156" s="18">
        <v>0.134864846159818</v>
      </c>
    </row>
    <row r="157" spans="1:39" x14ac:dyDescent="0.2">
      <c r="A157" s="18" t="s">
        <v>435</v>
      </c>
      <c r="B157" s="18">
        <v>4.73376276674373E-2</v>
      </c>
      <c r="C157" s="18">
        <v>1.1213682588935999E-3</v>
      </c>
      <c r="D157" s="18">
        <v>2.4104217032480798E-3</v>
      </c>
      <c r="E157" s="18">
        <v>298.02056765173501</v>
      </c>
      <c r="F157" s="18">
        <v>6.8995528849168899</v>
      </c>
      <c r="G157" s="18">
        <v>14.830838918983099</v>
      </c>
      <c r="H157" s="18">
        <v>0.368835891591902</v>
      </c>
      <c r="I157" s="18">
        <v>3.5665949963117297E-2</v>
      </c>
      <c r="J157" s="18">
        <v>4.2128838223398399E-2</v>
      </c>
      <c r="K157" s="18">
        <v>306.16462915281602</v>
      </c>
      <c r="L157" s="18">
        <v>26.595126958521099</v>
      </c>
      <c r="M157" s="18">
        <v>31.4143266147383</v>
      </c>
      <c r="N157" s="18">
        <v>1.45052986254915E-2</v>
      </c>
      <c r="O157" s="18">
        <v>1.35408282358906E-3</v>
      </c>
      <c r="P157" s="18">
        <v>1.44271005106797E-3</v>
      </c>
      <c r="Q157" s="18">
        <v>290.42258259195103</v>
      </c>
      <c r="R157" s="18">
        <v>26.936703316342001</v>
      </c>
      <c r="S157" s="18">
        <v>28.699760413559599</v>
      </c>
      <c r="T157" s="18">
        <v>5.7127421628179097E-2</v>
      </c>
      <c r="U157" s="18">
        <v>5.5860529979106597E-3</v>
      </c>
      <c r="V157" s="18">
        <v>6.0469547380693203E-3</v>
      </c>
      <c r="W157" s="18">
        <v>185.896262170727</v>
      </c>
      <c r="X157" s="18">
        <v>274.76005692112801</v>
      </c>
      <c r="Y157" s="18">
        <v>297.43033742301498</v>
      </c>
      <c r="Z157" s="18">
        <v>21.493254406700402</v>
      </c>
      <c r="AA157" s="18">
        <v>0.527023128113698</v>
      </c>
      <c r="AB157" s="18">
        <v>1.13285530961287</v>
      </c>
      <c r="AC157" s="18">
        <v>1.4517985026919</v>
      </c>
      <c r="AD157" s="18">
        <v>1.93780172948173E-2</v>
      </c>
      <c r="AE157" s="18">
        <v>48.104025747180799</v>
      </c>
      <c r="AF157" s="18">
        <v>1.0482525137591101</v>
      </c>
      <c r="AG157" s="18">
        <v>32.467412404314302</v>
      </c>
      <c r="AH157" s="18">
        <v>0.89809674429423003</v>
      </c>
      <c r="AI157" s="18">
        <v>4.4607376577712703</v>
      </c>
      <c r="AJ157" s="18">
        <v>0.412029183861371</v>
      </c>
      <c r="AL157" s="18">
        <v>-8.1770119256102905E-2</v>
      </c>
      <c r="AM157" s="18">
        <v>0.31073904150302201</v>
      </c>
    </row>
    <row r="158" spans="1:39" x14ac:dyDescent="0.2">
      <c r="A158" s="18" t="s">
        <v>436</v>
      </c>
      <c r="B158" s="18">
        <v>4.7709676001835198E-2</v>
      </c>
      <c r="C158" s="18">
        <v>1.07068538987729E-3</v>
      </c>
      <c r="D158" s="18">
        <v>2.4023197036353002E-3</v>
      </c>
      <c r="E158" s="18">
        <v>300.32225249286699</v>
      </c>
      <c r="F158" s="18">
        <v>6.5805994729761697</v>
      </c>
      <c r="G158" s="18">
        <v>14.765031749872501</v>
      </c>
      <c r="H158" s="18">
        <v>0.33061345398157499</v>
      </c>
      <c r="I158" s="18">
        <v>3.1479708812542799E-2</v>
      </c>
      <c r="J158" s="18">
        <v>3.7348964679810102E-2</v>
      </c>
      <c r="K158" s="18">
        <v>280.18480149416501</v>
      </c>
      <c r="L158" s="18">
        <v>23.156198882597501</v>
      </c>
      <c r="M158" s="18">
        <v>27.473572240928601</v>
      </c>
      <c r="N158" s="18">
        <v>1.4337185803396E-2</v>
      </c>
      <c r="O158" s="18">
        <v>1.0039136705886601E-3</v>
      </c>
      <c r="P158" s="18">
        <v>1.1180354071526201E-3</v>
      </c>
      <c r="Q158" s="18">
        <v>289.92784639685601</v>
      </c>
      <c r="R158" s="18">
        <v>20.565262269498501</v>
      </c>
      <c r="S158" s="18">
        <v>22.9030563566258</v>
      </c>
      <c r="T158" s="18">
        <v>5.1424046974578301E-2</v>
      </c>
      <c r="U158" s="18">
        <v>5.0956071957414901E-3</v>
      </c>
      <c r="V158" s="18">
        <v>5.5054405930160203E-3</v>
      </c>
      <c r="W158" s="18">
        <v>15.9562020097552</v>
      </c>
      <c r="X158" s="18">
        <v>237.34516197829501</v>
      </c>
      <c r="Y158" s="18">
        <v>256.43454040242602</v>
      </c>
      <c r="Z158" s="18">
        <v>21.177804533162401</v>
      </c>
      <c r="AA158" s="18">
        <v>0.45456411100578298</v>
      </c>
      <c r="AB158" s="18">
        <v>1.01991521576643</v>
      </c>
      <c r="AC158" s="18">
        <v>1.16584460919063</v>
      </c>
      <c r="AD158" s="18">
        <v>1.28380924412467E-2</v>
      </c>
      <c r="AE158" s="18">
        <v>63.878412117902101</v>
      </c>
      <c r="AF158" s="18">
        <v>1.4156415456279099</v>
      </c>
      <c r="AG158" s="18">
        <v>53.9564125939646</v>
      </c>
      <c r="AH158" s="18">
        <v>1.34800932976393</v>
      </c>
      <c r="AI158" s="18">
        <v>7.2829703568513304</v>
      </c>
      <c r="AJ158" s="18">
        <v>0.51448782008714899</v>
      </c>
      <c r="AL158" s="18">
        <v>3.4085908610842097E-2</v>
      </c>
      <c r="AM158" s="18">
        <v>9.9565819180894799E-2</v>
      </c>
    </row>
    <row r="159" spans="1:39" x14ac:dyDescent="0.2">
      <c r="A159" s="18" t="s">
        <v>437</v>
      </c>
      <c r="B159" s="18">
        <v>4.6387309000539202E-2</v>
      </c>
      <c r="C159" s="18">
        <v>1.28252286268028E-3</v>
      </c>
      <c r="D159" s="18">
        <v>2.45299346024456E-3</v>
      </c>
      <c r="E159" s="18">
        <v>292.12651635334299</v>
      </c>
      <c r="F159" s="18">
        <v>7.9085126119637099</v>
      </c>
      <c r="G159" s="18">
        <v>15.126069313779301</v>
      </c>
      <c r="H159" s="18">
        <v>0.34385295836891799</v>
      </c>
      <c r="I159" s="18">
        <v>3.9446342331290601E-2</v>
      </c>
      <c r="J159" s="18">
        <v>4.4643026242158802E-2</v>
      </c>
      <c r="K159" s="18">
        <v>287.67087889415302</v>
      </c>
      <c r="L159" s="18">
        <v>29.992172872230199</v>
      </c>
      <c r="M159" s="18">
        <v>33.9433590407248</v>
      </c>
      <c r="N159" s="18">
        <v>1.42343183130517E-2</v>
      </c>
      <c r="O159" s="18">
        <v>1.72721577190568E-3</v>
      </c>
      <c r="P159" s="18">
        <v>1.79498501150384E-3</v>
      </c>
      <c r="Q159" s="18">
        <v>284.61488757246701</v>
      </c>
      <c r="R159" s="18">
        <v>34.282346269635298</v>
      </c>
      <c r="S159" s="18">
        <v>35.627452408731401</v>
      </c>
      <c r="T159" s="18">
        <v>5.4003654290925199E-2</v>
      </c>
      <c r="U159" s="18">
        <v>6.2574693450383901E-3</v>
      </c>
      <c r="V159" s="18">
        <v>6.6292917679544898E-3</v>
      </c>
      <c r="W159" s="18">
        <v>145.96930473853101</v>
      </c>
      <c r="X159" s="18">
        <v>274.46716306318802</v>
      </c>
      <c r="Y159" s="18">
        <v>290.77615955263701</v>
      </c>
      <c r="Z159" s="18">
        <v>21.9310459912437</v>
      </c>
      <c r="AA159" s="18">
        <v>0.67409752070228901</v>
      </c>
      <c r="AB159" s="18">
        <v>1.2893000647131601</v>
      </c>
      <c r="AC159" s="18">
        <v>1.8385451917597799</v>
      </c>
      <c r="AD159" s="18">
        <v>2.7726625535523901E-2</v>
      </c>
      <c r="AE159" s="18">
        <v>38.130184951261199</v>
      </c>
      <c r="AF159" s="18">
        <v>0.69928331907281704</v>
      </c>
      <c r="AG159" s="18">
        <v>20.740413717384399</v>
      </c>
      <c r="AH159" s="18">
        <v>0.40341955347639702</v>
      </c>
      <c r="AI159" s="18">
        <v>2.53596471571334</v>
      </c>
      <c r="AJ159" s="18">
        <v>0.28241351251707297</v>
      </c>
      <c r="AL159" s="18">
        <v>3.27952338174715E-2</v>
      </c>
      <c r="AM159" s="18">
        <v>0.19724159430638799</v>
      </c>
    </row>
    <row r="160" spans="1:39" x14ac:dyDescent="0.2">
      <c r="A160" s="18" t="s">
        <v>438</v>
      </c>
      <c r="B160" s="18">
        <v>4.72600613669273E-2</v>
      </c>
      <c r="C160" s="18">
        <v>9.0059869706074795E-4</v>
      </c>
      <c r="D160" s="18">
        <v>2.3128783848627801E-3</v>
      </c>
      <c r="E160" s="18">
        <v>297.590973735766</v>
      </c>
      <c r="F160" s="18">
        <v>5.5412048873282398</v>
      </c>
      <c r="G160" s="18">
        <v>14.230681269943</v>
      </c>
      <c r="H160" s="18">
        <v>0.34755053994468199</v>
      </c>
      <c r="I160" s="18">
        <v>2.76166776239124E-2</v>
      </c>
      <c r="J160" s="18">
        <v>3.4771363267750897E-2</v>
      </c>
      <c r="K160" s="18">
        <v>297.62018311190701</v>
      </c>
      <c r="L160" s="18">
        <v>21.023536514059</v>
      </c>
      <c r="M160" s="18">
        <v>26.4701292189546</v>
      </c>
      <c r="N160" s="18">
        <v>1.45871162850198E-2</v>
      </c>
      <c r="O160" s="18">
        <v>7.8024953717352604E-4</v>
      </c>
      <c r="P160" s="18">
        <v>9.2707541712087405E-4</v>
      </c>
      <c r="Q160" s="18">
        <v>292.490306327805</v>
      </c>
      <c r="R160" s="18">
        <v>15.5402144146554</v>
      </c>
      <c r="S160" s="18">
        <v>18.464542526746001</v>
      </c>
      <c r="T160" s="18">
        <v>5.2686074645549398E-2</v>
      </c>
      <c r="U160" s="18">
        <v>4.1261723723668101E-3</v>
      </c>
      <c r="V160" s="18">
        <v>4.6460016374943597E-3</v>
      </c>
      <c r="W160" s="18">
        <v>156.70281243788401</v>
      </c>
      <c r="X160" s="18">
        <v>199.23389450900299</v>
      </c>
      <c r="Y160" s="18">
        <v>224.33405989829001</v>
      </c>
      <c r="Z160" s="18">
        <v>21.378758144958599</v>
      </c>
      <c r="AA160" s="18">
        <v>0.41015637253918102</v>
      </c>
      <c r="AB160" s="18">
        <v>1.05334574828461</v>
      </c>
      <c r="AC160" s="18">
        <v>1.06584661665341</v>
      </c>
      <c r="AD160" s="18">
        <v>1.00665501904836E-2</v>
      </c>
      <c r="AE160" s="18">
        <v>82.076768895618301</v>
      </c>
      <c r="AF160" s="18">
        <v>1.2827489401088099</v>
      </c>
      <c r="AG160" s="18">
        <v>73.5891672823589</v>
      </c>
      <c r="AH160" s="18">
        <v>1.1921333687617399</v>
      </c>
      <c r="AI160" s="18">
        <v>11.2787544496802</v>
      </c>
      <c r="AJ160" s="18">
        <v>0.63041989884371896</v>
      </c>
      <c r="AL160" s="18">
        <v>-3.5671260111414797E-2</v>
      </c>
      <c r="AM160" s="18">
        <v>0.27568131045443001</v>
      </c>
    </row>
    <row r="161" spans="1:39" x14ac:dyDescent="0.2">
      <c r="A161" s="18" t="s">
        <v>439</v>
      </c>
      <c r="B161" s="18">
        <v>4.7492719375404203E-2</v>
      </c>
      <c r="C161" s="18">
        <v>1.02085492965174E-3</v>
      </c>
      <c r="D161" s="18">
        <v>2.3717360466774802E-3</v>
      </c>
      <c r="E161" s="18">
        <v>298.99827681118899</v>
      </c>
      <c r="F161" s="18">
        <v>6.2773423248866003</v>
      </c>
      <c r="G161" s="18">
        <v>14.584049737945399</v>
      </c>
      <c r="H161" s="18">
        <v>0.33399050963871901</v>
      </c>
      <c r="I161" s="18">
        <v>3.1622159052067798E-2</v>
      </c>
      <c r="J161" s="18">
        <v>3.7579779625448798E-2</v>
      </c>
      <c r="K161" s="18">
        <v>282.24477150908803</v>
      </c>
      <c r="L161" s="18">
        <v>24.014868842176501</v>
      </c>
      <c r="M161" s="18">
        <v>28.539274542799902</v>
      </c>
      <c r="N161" s="18">
        <v>1.39973147533538E-2</v>
      </c>
      <c r="O161" s="18">
        <v>1.0875571940709701E-3</v>
      </c>
      <c r="P161" s="18">
        <v>1.1889487762869199E-3</v>
      </c>
      <c r="Q161" s="18">
        <v>280.53174342397898</v>
      </c>
      <c r="R161" s="18">
        <v>21.6437915065449</v>
      </c>
      <c r="S161" s="18">
        <v>23.6616148246789</v>
      </c>
      <c r="T161" s="18">
        <v>5.0988815319573597E-2</v>
      </c>
      <c r="U161" s="18">
        <v>4.8765423451492098E-3</v>
      </c>
      <c r="V161" s="18">
        <v>5.2964263632614503E-3</v>
      </c>
      <c r="W161" s="18">
        <v>-148.122005032983</v>
      </c>
      <c r="X161" s="18">
        <v>280.65907904683201</v>
      </c>
      <c r="Y161" s="18">
        <v>304.824615504664</v>
      </c>
      <c r="Z161" s="18">
        <v>21.349855114563699</v>
      </c>
      <c r="AA161" s="18">
        <v>0.460565698149491</v>
      </c>
      <c r="AB161" s="18">
        <v>1.07002497263443</v>
      </c>
      <c r="AC161" s="18">
        <v>1.3233348920651999</v>
      </c>
      <c r="AD161" s="18">
        <v>1.3523087934940999E-2</v>
      </c>
      <c r="AE161" s="18">
        <v>60.020912570692801</v>
      </c>
      <c r="AF161" s="18">
        <v>0.90395712244360105</v>
      </c>
      <c r="AG161" s="18">
        <v>42.601774011863199</v>
      </c>
      <c r="AH161" s="18">
        <v>0.67206519117416097</v>
      </c>
      <c r="AI161" s="18">
        <v>6.5294664460691401</v>
      </c>
      <c r="AJ161" s="18">
        <v>0.51084648364221796</v>
      </c>
      <c r="AL161" s="18">
        <v>1.8119164553156701E-2</v>
      </c>
      <c r="AM161" s="18">
        <v>0.20934319293991199</v>
      </c>
    </row>
    <row r="163" spans="1:39" s="16" customFormat="1" x14ac:dyDescent="0.2">
      <c r="A163" s="16" t="s">
        <v>171</v>
      </c>
    </row>
    <row r="164" spans="1:39" x14ac:dyDescent="0.2">
      <c r="A164" s="18" t="s">
        <v>440</v>
      </c>
      <c r="B164" s="18">
        <v>0.17793526140114699</v>
      </c>
      <c r="C164" s="18">
        <v>1.8503839965558599E-3</v>
      </c>
      <c r="D164" s="18">
        <v>8.2327394745933102E-3</v>
      </c>
      <c r="E164" s="18">
        <v>1055.39399842946</v>
      </c>
      <c r="F164" s="18">
        <v>10.143683576139001</v>
      </c>
      <c r="G164" s="18">
        <v>45.131337252430598</v>
      </c>
      <c r="H164" s="18">
        <v>1.81742911709684</v>
      </c>
      <c r="I164" s="18">
        <v>5.0052136963614102E-2</v>
      </c>
      <c r="J164" s="18">
        <v>0.121294366407295</v>
      </c>
      <c r="K164" s="18">
        <v>1048.2519743713799</v>
      </c>
      <c r="L164" s="18">
        <v>17.632020674513399</v>
      </c>
      <c r="M164" s="18">
        <v>42.728740588042299</v>
      </c>
      <c r="N164" s="18">
        <v>5.3318626060295402E-2</v>
      </c>
      <c r="O164" s="18">
        <v>2.1640650629207898E-3</v>
      </c>
      <c r="P164" s="18">
        <v>2.83412366290432E-3</v>
      </c>
      <c r="Q164" s="18">
        <v>1048.38421574265</v>
      </c>
      <c r="R164" s="18">
        <v>41.499953094069099</v>
      </c>
      <c r="S164" s="18">
        <v>54.349566974006301</v>
      </c>
      <c r="T164" s="18">
        <v>7.4139284665755895E-2</v>
      </c>
      <c r="U164" s="18">
        <v>2.2269201378818399E-3</v>
      </c>
      <c r="V164" s="18">
        <v>3.7403187530942201E-3</v>
      </c>
      <c r="W164" s="18">
        <v>1016.85250190072</v>
      </c>
      <c r="X164" s="18">
        <v>58.424295470457302</v>
      </c>
      <c r="Y164" s="18">
        <v>98.129018758760495</v>
      </c>
      <c r="Z164" s="18">
        <v>5.6132375887879196</v>
      </c>
      <c r="AA164" s="18">
        <v>5.7653638558725698E-2</v>
      </c>
      <c r="AB164" s="18">
        <v>0.25651291131993198</v>
      </c>
      <c r="AC164" s="18">
        <v>2.67390795695461</v>
      </c>
      <c r="AD164" s="18">
        <v>2.7948296771265899E-2</v>
      </c>
      <c r="AE164" s="18">
        <v>79.843013111283796</v>
      </c>
      <c r="AF164" s="18">
        <v>2.3149023257024601</v>
      </c>
      <c r="AG164" s="18">
        <v>29.907859745655301</v>
      </c>
      <c r="AH164" s="18">
        <v>0.75690983256195998</v>
      </c>
      <c r="AI164" s="18">
        <v>15.0925093456712</v>
      </c>
      <c r="AJ164" s="18">
        <v>0.66400166108738101</v>
      </c>
      <c r="AL164" s="18">
        <v>-1.3696069573348599E-2</v>
      </c>
      <c r="AM164" s="18">
        <v>0.38205839764473498</v>
      </c>
    </row>
    <row r="165" spans="1:39" x14ac:dyDescent="0.2">
      <c r="A165" s="18" t="s">
        <v>441</v>
      </c>
      <c r="B165" s="18">
        <v>0.17975200209369699</v>
      </c>
      <c r="C165" s="18">
        <v>1.79610458120931E-3</v>
      </c>
      <c r="D165" s="18">
        <v>8.3009005940259308E-3</v>
      </c>
      <c r="E165" s="18">
        <v>1065.34903541688</v>
      </c>
      <c r="F165" s="18">
        <v>9.8092700728357496</v>
      </c>
      <c r="G165" s="18">
        <v>45.334651793905799</v>
      </c>
      <c r="H165" s="18">
        <v>1.8867755941612101</v>
      </c>
      <c r="I165" s="18">
        <v>4.5541317161664097E-2</v>
      </c>
      <c r="J165" s="18">
        <v>0.123421507976579</v>
      </c>
      <c r="K165" s="18">
        <v>1071.83488936097</v>
      </c>
      <c r="L165" s="18">
        <v>16.123690419063301</v>
      </c>
      <c r="M165" s="18">
        <v>43.696807859203801</v>
      </c>
      <c r="N165" s="18">
        <v>5.2159884510552201E-2</v>
      </c>
      <c r="O165" s="18">
        <v>2.2218796343898002E-3</v>
      </c>
      <c r="P165" s="18">
        <v>2.8534059228165101E-3</v>
      </c>
      <c r="Q165" s="18">
        <v>1026.06606413333</v>
      </c>
      <c r="R165" s="18">
        <v>42.542045667770203</v>
      </c>
      <c r="S165" s="18">
        <v>54.633798878346298</v>
      </c>
      <c r="T165" s="18">
        <v>7.5965616895540503E-2</v>
      </c>
      <c r="U165" s="18">
        <v>1.76907141981153E-3</v>
      </c>
      <c r="V165" s="18">
        <v>3.55113753827101E-3</v>
      </c>
      <c r="W165" s="18">
        <v>1067.2700539425</v>
      </c>
      <c r="X165" s="18">
        <v>47.514265996553704</v>
      </c>
      <c r="Y165" s="18">
        <v>95.377547618587201</v>
      </c>
      <c r="Z165" s="18">
        <v>5.5634447484228602</v>
      </c>
      <c r="AA165" s="18">
        <v>5.5491232435971101E-2</v>
      </c>
      <c r="AB165" s="18">
        <v>0.25645901085606299</v>
      </c>
      <c r="AC165" s="18">
        <v>2.6475914210598099</v>
      </c>
      <c r="AD165" s="18">
        <v>2.94001734673804E-2</v>
      </c>
      <c r="AE165" s="18">
        <v>79.449600547755296</v>
      </c>
      <c r="AF165" s="18">
        <v>2.2754590868426399</v>
      </c>
      <c r="AG165" s="18">
        <v>29.901856122895399</v>
      </c>
      <c r="AH165" s="18">
        <v>0.76849571882971202</v>
      </c>
      <c r="AI165" s="18">
        <v>14.9179123339591</v>
      </c>
      <c r="AJ165" s="18">
        <v>0.67765807982345405</v>
      </c>
      <c r="AL165" s="18">
        <v>0.30593084071235599</v>
      </c>
      <c r="AM165" s="18">
        <v>0.12144752245664001</v>
      </c>
    </row>
    <row r="166" spans="1:39" x14ac:dyDescent="0.2">
      <c r="A166" s="18" t="s">
        <v>442</v>
      </c>
      <c r="B166" s="18">
        <v>0.17924654035464799</v>
      </c>
      <c r="C166" s="18">
        <v>1.84848439118929E-3</v>
      </c>
      <c r="D166" s="18">
        <v>8.28872595597566E-3</v>
      </c>
      <c r="E166" s="18">
        <v>1062.5684375191599</v>
      </c>
      <c r="F166" s="18">
        <v>10.0956226723894</v>
      </c>
      <c r="G166" s="18">
        <v>45.269438078691103</v>
      </c>
      <c r="H166" s="18">
        <v>1.83842736299922</v>
      </c>
      <c r="I166" s="18">
        <v>4.8825806196193401E-2</v>
      </c>
      <c r="J166" s="18">
        <v>0.12196293554038599</v>
      </c>
      <c r="K166" s="18">
        <v>1053.8446291729299</v>
      </c>
      <c r="L166" s="18">
        <v>17.417922858172702</v>
      </c>
      <c r="M166" s="18">
        <v>43.508569920230997</v>
      </c>
      <c r="N166" s="18">
        <v>5.3197401330113199E-2</v>
      </c>
      <c r="O166" s="18">
        <v>2.1821630877546898E-3</v>
      </c>
      <c r="P166" s="18">
        <v>2.84531860008475E-3</v>
      </c>
      <c r="Q166" s="18">
        <v>1046.0318654872899</v>
      </c>
      <c r="R166" s="18">
        <v>41.843941908192697</v>
      </c>
      <c r="S166" s="18">
        <v>54.5602420279006</v>
      </c>
      <c r="T166" s="18">
        <v>7.4096273415529906E-2</v>
      </c>
      <c r="U166" s="18">
        <v>1.9728185574603798E-3</v>
      </c>
      <c r="V166" s="18">
        <v>3.59339622263376E-3</v>
      </c>
      <c r="W166" s="18">
        <v>1014.4167119586</v>
      </c>
      <c r="X166" s="18">
        <v>55.572274487732301</v>
      </c>
      <c r="Y166" s="18">
        <v>101.222284468192</v>
      </c>
      <c r="Z166" s="18">
        <v>5.58692255326718</v>
      </c>
      <c r="AA166" s="18">
        <v>5.9030542269457198E-2</v>
      </c>
      <c r="AB166" s="18">
        <v>0.26469684582479402</v>
      </c>
      <c r="AC166" s="18">
        <v>2.68331159984603</v>
      </c>
      <c r="AD166" s="18">
        <v>3.5837919071166902E-2</v>
      </c>
      <c r="AE166" s="18">
        <v>82.081825491326001</v>
      </c>
      <c r="AF166" s="18">
        <v>2.2989863714372798</v>
      </c>
      <c r="AG166" s="18">
        <v>30.1737827424733</v>
      </c>
      <c r="AH166" s="18">
        <v>0.69500505279785796</v>
      </c>
      <c r="AI166" s="18">
        <v>15.369940310917499</v>
      </c>
      <c r="AJ166" s="18">
        <v>0.66924628048143098</v>
      </c>
      <c r="AL166" s="18">
        <v>0.14846379087237399</v>
      </c>
      <c r="AM166" s="18">
        <v>0.253372646182216</v>
      </c>
    </row>
    <row r="167" spans="1:39" x14ac:dyDescent="0.2">
      <c r="A167" s="18" t="s">
        <v>443</v>
      </c>
      <c r="B167" s="18">
        <v>0.17892350756403499</v>
      </c>
      <c r="C167" s="18">
        <v>1.69103857283351E-3</v>
      </c>
      <c r="D167" s="18">
        <v>8.2429018159181997E-3</v>
      </c>
      <c r="E167" s="18">
        <v>1060.84922454927</v>
      </c>
      <c r="F167" s="18">
        <v>9.2388525280746094</v>
      </c>
      <c r="G167" s="18">
        <v>45.034427661257403</v>
      </c>
      <c r="H167" s="18">
        <v>1.84885866949697</v>
      </c>
      <c r="I167" s="18">
        <v>5.50532038537093E-2</v>
      </c>
      <c r="J167" s="18">
        <v>0.12515610764850199</v>
      </c>
      <c r="K167" s="18">
        <v>1056.08181181395</v>
      </c>
      <c r="L167" s="18">
        <v>19.694385344497601</v>
      </c>
      <c r="M167" s="18">
        <v>44.772555268478797</v>
      </c>
      <c r="N167" s="18">
        <v>5.2879905780094397E-2</v>
      </c>
      <c r="O167" s="18">
        <v>2.04929152954699E-3</v>
      </c>
      <c r="P167" s="18">
        <v>2.7375163327882398E-3</v>
      </c>
      <c r="Q167" s="18">
        <v>1040.1254933624</v>
      </c>
      <c r="R167" s="18">
        <v>39.270223810893299</v>
      </c>
      <c r="S167" s="18">
        <v>52.458558250291603</v>
      </c>
      <c r="T167" s="18">
        <v>7.5001479669672202E-2</v>
      </c>
      <c r="U167" s="18">
        <v>2.1861303877853898E-3</v>
      </c>
      <c r="V167" s="18">
        <v>3.7445728345301401E-3</v>
      </c>
      <c r="W167" s="18">
        <v>1025.45823841898</v>
      </c>
      <c r="X167" s="18">
        <v>60.859737976526603</v>
      </c>
      <c r="Y167" s="18">
        <v>104.245255825928</v>
      </c>
      <c r="Z167" s="18">
        <v>5.5887654665088</v>
      </c>
      <c r="AA167" s="18">
        <v>5.3996319138188198E-2</v>
      </c>
      <c r="AB167" s="18">
        <v>0.26320295954650003</v>
      </c>
      <c r="AC167" s="18">
        <v>2.6621231920670501</v>
      </c>
      <c r="AD167" s="18">
        <v>2.5795978821921299E-2</v>
      </c>
      <c r="AE167" s="18">
        <v>78.657986421714497</v>
      </c>
      <c r="AF167" s="18">
        <v>1.9587493752804199</v>
      </c>
      <c r="AG167" s="18">
        <v>29.881509714102101</v>
      </c>
      <c r="AH167" s="18">
        <v>0.68494781579777997</v>
      </c>
      <c r="AI167" s="18">
        <v>14.402698760258801</v>
      </c>
      <c r="AJ167" s="18">
        <v>0.62187722872885698</v>
      </c>
      <c r="AL167" s="18">
        <v>0.23320709913875801</v>
      </c>
      <c r="AM167" s="18">
        <v>9.3440942819012607E-2</v>
      </c>
    </row>
    <row r="168" spans="1:39" x14ac:dyDescent="0.2">
      <c r="A168" s="18" t="s">
        <v>444</v>
      </c>
      <c r="B168" s="18">
        <v>0.17962396781543</v>
      </c>
      <c r="C168" s="18">
        <v>1.5837820087177901E-3</v>
      </c>
      <c r="D168" s="18">
        <v>8.2518050010892807E-3</v>
      </c>
      <c r="E168" s="18">
        <v>1064.7081970424799</v>
      </c>
      <c r="F168" s="18">
        <v>8.6477338567282001</v>
      </c>
      <c r="G168" s="18">
        <v>45.056335464253998</v>
      </c>
      <c r="H168" s="18">
        <v>1.86664199803192</v>
      </c>
      <c r="I168" s="18">
        <v>5.3403024089672603E-2</v>
      </c>
      <c r="J168" s="18">
        <v>0.12541757980342599</v>
      </c>
      <c r="K168" s="18">
        <v>1065.2062292391299</v>
      </c>
      <c r="L168" s="18">
        <v>19.465648918674201</v>
      </c>
      <c r="M168" s="18">
        <v>45.715287070332899</v>
      </c>
      <c r="N168" s="18">
        <v>5.3429376136679099E-2</v>
      </c>
      <c r="O168" s="18">
        <v>2.0681390399897902E-3</v>
      </c>
      <c r="P168" s="18">
        <v>2.7641279995652499E-3</v>
      </c>
      <c r="Q168" s="18">
        <v>1050.6451413488301</v>
      </c>
      <c r="R168" s="18">
        <v>39.6417764329112</v>
      </c>
      <c r="S168" s="18">
        <v>52.9823875822471</v>
      </c>
      <c r="T168" s="18">
        <v>7.5460101882521793E-2</v>
      </c>
      <c r="U168" s="18">
        <v>2.25945113139926E-3</v>
      </c>
      <c r="V168" s="18">
        <v>3.8026799818579502E-3</v>
      </c>
      <c r="W168" s="18">
        <v>1042.11200770198</v>
      </c>
      <c r="X168" s="18">
        <v>63.945638164355401</v>
      </c>
      <c r="Y168" s="18">
        <v>107.62118055819001</v>
      </c>
      <c r="Z168" s="18">
        <v>5.5581238639016703</v>
      </c>
      <c r="AA168" s="18">
        <v>5.1603767608944098E-2</v>
      </c>
      <c r="AB168" s="18">
        <v>0.26886542799869001</v>
      </c>
      <c r="AC168" s="18">
        <v>2.6652693475822802</v>
      </c>
      <c r="AD168" s="18">
        <v>2.9308448688094599E-2</v>
      </c>
      <c r="AE168" s="18">
        <v>79.662339504048603</v>
      </c>
      <c r="AF168" s="18">
        <v>2.01816633075935</v>
      </c>
      <c r="AG168" s="18">
        <v>30.094810971772802</v>
      </c>
      <c r="AH168" s="18">
        <v>0.69194808724364598</v>
      </c>
      <c r="AI168" s="18">
        <v>14.553844385682201</v>
      </c>
      <c r="AJ168" s="18">
        <v>0.60309260410865895</v>
      </c>
      <c r="AL168" s="18">
        <v>-2.6915319069700801E-2</v>
      </c>
      <c r="AM168" s="18">
        <v>0.31229913606855297</v>
      </c>
    </row>
    <row r="169" spans="1:39" x14ac:dyDescent="0.2">
      <c r="A169" s="18" t="s">
        <v>445</v>
      </c>
      <c r="B169" s="18">
        <v>0.180288887127947</v>
      </c>
      <c r="C169" s="18">
        <v>1.9000833848177301E-3</v>
      </c>
      <c r="D169" s="18">
        <v>8.3477063714093597E-3</v>
      </c>
      <c r="E169" s="18">
        <v>1068.25003654326</v>
      </c>
      <c r="F169" s="18">
        <v>10.372594563803901</v>
      </c>
      <c r="G169" s="18">
        <v>45.570302029991403</v>
      </c>
      <c r="H169" s="18">
        <v>1.8330452605604799</v>
      </c>
      <c r="I169" s="18">
        <v>5.5887668922940198E-2</v>
      </c>
      <c r="J169" s="18">
        <v>0.12466683442439599</v>
      </c>
      <c r="K169" s="18">
        <v>1052.5023799938299</v>
      </c>
      <c r="L169" s="18">
        <v>20.5326212631341</v>
      </c>
      <c r="M169" s="18">
        <v>45.801461120867799</v>
      </c>
      <c r="N169" s="18">
        <v>5.7191550843244801E-2</v>
      </c>
      <c r="O169" s="18">
        <v>2.1935429118330502E-3</v>
      </c>
      <c r="P169" s="18">
        <v>2.94362725194323E-3</v>
      </c>
      <c r="Q169" s="18">
        <v>1122.54439083182</v>
      </c>
      <c r="R169" s="18">
        <v>41.937569688052101</v>
      </c>
      <c r="S169" s="18">
        <v>56.278166407447998</v>
      </c>
      <c r="T169" s="18">
        <v>7.4207858033894597E-2</v>
      </c>
      <c r="U169" s="18">
        <v>2.2582348789022899E-3</v>
      </c>
      <c r="V169" s="18">
        <v>3.7611656826232001E-3</v>
      </c>
      <c r="W169" s="18">
        <v>1007.8627065880499</v>
      </c>
      <c r="X169" s="18">
        <v>62.822381228666003</v>
      </c>
      <c r="Y169" s="18">
        <v>104.632776061269</v>
      </c>
      <c r="Z169" s="18">
        <v>5.5491154193636598</v>
      </c>
      <c r="AA169" s="18">
        <v>5.7022303350836703E-2</v>
      </c>
      <c r="AB169" s="18">
        <v>0.25051818714781299</v>
      </c>
      <c r="AC169" s="18">
        <v>2.66974390193527</v>
      </c>
      <c r="AD169" s="18">
        <v>3.06876446157913E-2</v>
      </c>
      <c r="AE169" s="18">
        <v>79.866252235903502</v>
      </c>
      <c r="AF169" s="18">
        <v>2.02924005666992</v>
      </c>
      <c r="AG169" s="18">
        <v>30.008256008865999</v>
      </c>
      <c r="AH169" s="18">
        <v>0.67482028273607098</v>
      </c>
      <c r="AI169" s="18">
        <v>15.5381579678318</v>
      </c>
      <c r="AJ169" s="18">
        <v>0.62274953243844</v>
      </c>
      <c r="AL169" s="18">
        <v>0.20190988056520401</v>
      </c>
      <c r="AM169" s="18">
        <v>0.14469912147125799</v>
      </c>
    </row>
    <row r="170" spans="1:39" x14ac:dyDescent="0.2">
      <c r="A170" s="18" t="s">
        <v>446</v>
      </c>
      <c r="B170" s="18">
        <v>0.178937259840353</v>
      </c>
      <c r="C170" s="18">
        <v>1.8370244382164499E-3</v>
      </c>
      <c r="D170" s="18">
        <v>8.2739263175154697E-3</v>
      </c>
      <c r="E170" s="18">
        <v>1060.8809276622301</v>
      </c>
      <c r="F170" s="18">
        <v>10.0348267010068</v>
      </c>
      <c r="G170" s="18">
        <v>45.196686013484999</v>
      </c>
      <c r="H170" s="18">
        <v>1.8431645477118099</v>
      </c>
      <c r="I170" s="18">
        <v>5.4395293950214203E-2</v>
      </c>
      <c r="J170" s="18">
        <v>0.124560800314912</v>
      </c>
      <c r="K170" s="18">
        <v>1054.24236076191</v>
      </c>
      <c r="L170" s="18">
        <v>19.380976569066</v>
      </c>
      <c r="M170" s="18">
        <v>44.380860493868397</v>
      </c>
      <c r="N170" s="18">
        <v>5.4345007110922501E-2</v>
      </c>
      <c r="O170" s="18">
        <v>2.3174704781069198E-3</v>
      </c>
      <c r="P170" s="18">
        <v>2.9749097392805001E-3</v>
      </c>
      <c r="Q170" s="18">
        <v>1067.8450672532399</v>
      </c>
      <c r="R170" s="18">
        <v>44.399878003525899</v>
      </c>
      <c r="S170" s="18">
        <v>56.9956039325482</v>
      </c>
      <c r="T170" s="18">
        <v>7.4496615203025696E-2</v>
      </c>
      <c r="U170" s="18">
        <v>2.25217660724202E-3</v>
      </c>
      <c r="V170" s="18">
        <v>3.7669615275972199E-3</v>
      </c>
      <c r="W170" s="18">
        <v>1023.3994687701201</v>
      </c>
      <c r="X170" s="18">
        <v>61.725764710271697</v>
      </c>
      <c r="Y170" s="18">
        <v>103.241717446773</v>
      </c>
      <c r="Z170" s="18">
        <v>5.5917429096758804</v>
      </c>
      <c r="AA170" s="18">
        <v>5.72205733485706E-2</v>
      </c>
      <c r="AB170" s="18">
        <v>0.25772047332789999</v>
      </c>
      <c r="AC170" s="18">
        <v>2.6657696273945999</v>
      </c>
      <c r="AD170" s="18">
        <v>3.42848837358362E-2</v>
      </c>
      <c r="AE170" s="18">
        <v>80.466543172372397</v>
      </c>
      <c r="AF170" s="18">
        <v>1.9264714733225199</v>
      </c>
      <c r="AG170" s="18">
        <v>30.065785851252802</v>
      </c>
      <c r="AH170" s="18">
        <v>0.67599404317738598</v>
      </c>
      <c r="AI170" s="18">
        <v>15.059788090955999</v>
      </c>
      <c r="AJ170" s="18">
        <v>0.70116402466376504</v>
      </c>
      <c r="AL170" s="18">
        <v>1.7377848158775001E-2</v>
      </c>
      <c r="AM170" s="18">
        <v>0.29103789920377299</v>
      </c>
    </row>
    <row r="171" spans="1:39" x14ac:dyDescent="0.2">
      <c r="A171" s="18" t="s">
        <v>447</v>
      </c>
      <c r="B171" s="18">
        <v>0.17903078059348801</v>
      </c>
      <c r="C171" s="18">
        <v>1.7659203280844E-3</v>
      </c>
      <c r="D171" s="18">
        <v>8.26098892759017E-3</v>
      </c>
      <c r="E171" s="18">
        <v>1061.4141845587201</v>
      </c>
      <c r="F171" s="18">
        <v>9.6398636996897</v>
      </c>
      <c r="G171" s="18">
        <v>45.095356806385396</v>
      </c>
      <c r="H171" s="18">
        <v>1.83935091963608</v>
      </c>
      <c r="I171" s="18">
        <v>5.4738914627156202E-2</v>
      </c>
      <c r="J171" s="18">
        <v>0.124503717163477</v>
      </c>
      <c r="K171" s="18">
        <v>1055.60621848714</v>
      </c>
      <c r="L171" s="18">
        <v>19.209317959999499</v>
      </c>
      <c r="M171" s="18">
        <v>43.691613297143597</v>
      </c>
      <c r="N171" s="18">
        <v>5.5259313490663299E-2</v>
      </c>
      <c r="O171" s="18">
        <v>2.4505569643226499E-3</v>
      </c>
      <c r="P171" s="18">
        <v>3.09882069014778E-3</v>
      </c>
      <c r="Q171" s="18">
        <v>1085.1565813698101</v>
      </c>
      <c r="R171" s="18">
        <v>46.935327550186003</v>
      </c>
      <c r="S171" s="18">
        <v>59.351472432138003</v>
      </c>
      <c r="T171" s="18">
        <v>7.38856108977132E-2</v>
      </c>
      <c r="U171" s="18">
        <v>2.2759100108535098E-3</v>
      </c>
      <c r="V171" s="18">
        <v>3.7614499538504002E-3</v>
      </c>
      <c r="W171" s="18">
        <v>1016.42481041921</v>
      </c>
      <c r="X171" s="18">
        <v>62.530523905331599</v>
      </c>
      <c r="Y171" s="18">
        <v>103.345666189036</v>
      </c>
      <c r="Z171" s="18">
        <v>5.5869231011175398</v>
      </c>
      <c r="AA171" s="18">
        <v>5.4355464788243303E-2</v>
      </c>
      <c r="AB171" s="18">
        <v>0.25427528390071003</v>
      </c>
      <c r="AC171" s="18">
        <v>2.6696260376097198</v>
      </c>
      <c r="AD171" s="18">
        <v>2.6356503398170299E-2</v>
      </c>
      <c r="AE171" s="18">
        <v>80.080653397434205</v>
      </c>
      <c r="AF171" s="18">
        <v>1.9249348410896101</v>
      </c>
      <c r="AG171" s="18">
        <v>29.841103674131201</v>
      </c>
      <c r="AH171" s="18">
        <v>0.68962032232170101</v>
      </c>
      <c r="AI171" s="18">
        <v>15.2518621340694</v>
      </c>
      <c r="AJ171" s="18">
        <v>0.72408822334179401</v>
      </c>
      <c r="AL171" s="18">
        <v>0.11001780830286099</v>
      </c>
      <c r="AM171" s="18">
        <v>0.19331052477917801</v>
      </c>
    </row>
    <row r="172" spans="1:39" x14ac:dyDescent="0.2">
      <c r="A172" s="18" t="s">
        <v>448</v>
      </c>
      <c r="B172" s="18">
        <v>0.17769501922747999</v>
      </c>
      <c r="C172" s="18">
        <v>1.65594638707277E-3</v>
      </c>
      <c r="D172" s="18">
        <v>8.1796465994048995E-3</v>
      </c>
      <c r="E172" s="18">
        <v>1054.1374120307801</v>
      </c>
      <c r="F172" s="18">
        <v>9.0655636509660393</v>
      </c>
      <c r="G172" s="18">
        <v>44.779895936361797</v>
      </c>
      <c r="H172" s="18">
        <v>1.8626310739112799</v>
      </c>
      <c r="I172" s="18">
        <v>4.7883858186600702E-2</v>
      </c>
      <c r="J172" s="18">
        <v>0.122939579910521</v>
      </c>
      <c r="K172" s="18">
        <v>1062.7930071537601</v>
      </c>
      <c r="L172" s="18">
        <v>16.8627353753953</v>
      </c>
      <c r="M172" s="18">
        <v>43.2942891760026</v>
      </c>
      <c r="N172" s="18">
        <v>5.3891434104683597E-2</v>
      </c>
      <c r="O172" s="18">
        <v>2.1833641707962102E-3</v>
      </c>
      <c r="P172" s="18">
        <v>2.8615765626297299E-3</v>
      </c>
      <c r="Q172" s="18">
        <v>1059.3482070794701</v>
      </c>
      <c r="R172" s="18">
        <v>41.818179259932798</v>
      </c>
      <c r="S172" s="18">
        <v>54.808044971459701</v>
      </c>
      <c r="T172" s="18">
        <v>7.6105682723738202E-2</v>
      </c>
      <c r="U172" s="18">
        <v>2.09902110121785E-3</v>
      </c>
      <c r="V172" s="18">
        <v>3.7311922419867301E-3</v>
      </c>
      <c r="W172" s="18">
        <v>1059.60810433703</v>
      </c>
      <c r="X172" s="18">
        <v>57.050819067141298</v>
      </c>
      <c r="Y172" s="18">
        <v>101.41278397763701</v>
      </c>
      <c r="Z172" s="18">
        <v>5.6271630252498097</v>
      </c>
      <c r="AA172" s="18">
        <v>5.2917800807930002E-2</v>
      </c>
      <c r="AB172" s="18">
        <v>0.26139065419365398</v>
      </c>
      <c r="AC172" s="18">
        <v>2.6624528321373102</v>
      </c>
      <c r="AD172" s="18">
        <v>3.4565434276101703E-2</v>
      </c>
      <c r="AE172" s="18">
        <v>80.304240253459795</v>
      </c>
      <c r="AF172" s="18">
        <v>2.1432039546127499</v>
      </c>
      <c r="AG172" s="18">
        <v>30.087654646511499</v>
      </c>
      <c r="AH172" s="18">
        <v>0.723257557757509</v>
      </c>
      <c r="AI172" s="18">
        <v>15.0471022450864</v>
      </c>
      <c r="AJ172" s="18">
        <v>0.641609215542848</v>
      </c>
      <c r="AL172" s="18">
        <v>-4.5508748996922498E-2</v>
      </c>
      <c r="AM172" s="18">
        <v>0.39024730606258601</v>
      </c>
    </row>
    <row r="173" spans="1:39" x14ac:dyDescent="0.2">
      <c r="A173" s="18" t="s">
        <v>449</v>
      </c>
      <c r="B173" s="18">
        <v>0.178157904058414</v>
      </c>
      <c r="C173" s="18">
        <v>1.5966347309402001E-3</v>
      </c>
      <c r="D173" s="18">
        <v>8.1905068682272594E-3</v>
      </c>
      <c r="E173" s="18">
        <v>1056.6870690892899</v>
      </c>
      <c r="F173" s="18">
        <v>8.7407546416318702</v>
      </c>
      <c r="G173" s="18">
        <v>44.838816003719003</v>
      </c>
      <c r="H173" s="18">
        <v>1.8395879032756099</v>
      </c>
      <c r="I173" s="18">
        <v>5.5300116970706498E-2</v>
      </c>
      <c r="J173" s="18">
        <v>0.124768340233486</v>
      </c>
      <c r="K173" s="18">
        <v>1052.6950029055599</v>
      </c>
      <c r="L173" s="18">
        <v>19.779753436759801</v>
      </c>
      <c r="M173" s="18">
        <v>44.6271570788793</v>
      </c>
      <c r="N173" s="18">
        <v>5.2201794908836398E-2</v>
      </c>
      <c r="O173" s="18">
        <v>2.39974239579582E-3</v>
      </c>
      <c r="P173" s="18">
        <v>2.9948473143563601E-3</v>
      </c>
      <c r="Q173" s="18">
        <v>1026.5904309975599</v>
      </c>
      <c r="R173" s="18">
        <v>45.889924992706398</v>
      </c>
      <c r="S173" s="18">
        <v>57.270029842034198</v>
      </c>
      <c r="T173" s="18">
        <v>7.4859551318310999E-2</v>
      </c>
      <c r="U173" s="18">
        <v>2.2021244021277202E-3</v>
      </c>
      <c r="V173" s="18">
        <v>3.7491515291510498E-3</v>
      </c>
      <c r="W173" s="18">
        <v>1028.17709738759</v>
      </c>
      <c r="X173" s="18">
        <v>62.959707133459702</v>
      </c>
      <c r="Y173" s="18">
        <v>107.189894470195</v>
      </c>
      <c r="Z173" s="18">
        <v>5.6098734139622701</v>
      </c>
      <c r="AA173" s="18">
        <v>5.2079765135983898E-2</v>
      </c>
      <c r="AB173" s="18">
        <v>0.26716171568606201</v>
      </c>
      <c r="AC173" s="18">
        <v>2.6672753300718699</v>
      </c>
      <c r="AD173" s="18">
        <v>3.1025068943862501E-2</v>
      </c>
      <c r="AE173" s="18">
        <v>81.451036167582302</v>
      </c>
      <c r="AF173" s="18">
        <v>1.9096094956915199</v>
      </c>
      <c r="AG173" s="18">
        <v>30.190339053054199</v>
      </c>
      <c r="AH173" s="18">
        <v>0.65522589805277798</v>
      </c>
      <c r="AI173" s="18">
        <v>14.8722567343011</v>
      </c>
      <c r="AJ173" s="18">
        <v>0.67219636369584401</v>
      </c>
      <c r="AL173" s="18">
        <v>0.18157683614259401</v>
      </c>
      <c r="AM173" s="18">
        <v>0.12712645002217199</v>
      </c>
    </row>
    <row r="174" spans="1:39" x14ac:dyDescent="0.2">
      <c r="A174" s="18" t="s">
        <v>450</v>
      </c>
      <c r="B174" s="18">
        <v>0.179359378667372</v>
      </c>
      <c r="C174" s="18">
        <v>1.70010515870039E-3</v>
      </c>
      <c r="D174" s="18">
        <v>8.2624847485675001E-3</v>
      </c>
      <c r="E174" s="18">
        <v>1063.22967266865</v>
      </c>
      <c r="F174" s="18">
        <v>9.2866163414029597</v>
      </c>
      <c r="G174" s="18">
        <v>45.132811634602</v>
      </c>
      <c r="H174" s="18">
        <v>1.8605059842002301</v>
      </c>
      <c r="I174" s="18">
        <v>5.83069972412898E-2</v>
      </c>
      <c r="J174" s="18">
        <v>0.12725472778828301</v>
      </c>
      <c r="K174" s="18">
        <v>1059.49671883377</v>
      </c>
      <c r="L174" s="18">
        <v>20.671410154622201</v>
      </c>
      <c r="M174" s="18">
        <v>45.115248541106297</v>
      </c>
      <c r="N174" s="18">
        <v>5.5284415455033903E-2</v>
      </c>
      <c r="O174" s="18">
        <v>2.3768654277961398E-3</v>
      </c>
      <c r="P174" s="18">
        <v>3.0414181294083601E-3</v>
      </c>
      <c r="Q174" s="18">
        <v>1085.7628077427901</v>
      </c>
      <c r="R174" s="18">
        <v>45.3874441839573</v>
      </c>
      <c r="S174" s="18">
        <v>58.077413207440998</v>
      </c>
      <c r="T174" s="18">
        <v>7.5353806261373904E-2</v>
      </c>
      <c r="U174" s="18">
        <v>2.4101418080357999E-3</v>
      </c>
      <c r="V174" s="18">
        <v>3.8907051298505799E-3</v>
      </c>
      <c r="W174" s="18">
        <v>1036.8203035699601</v>
      </c>
      <c r="X174" s="18">
        <v>64.183010245581002</v>
      </c>
      <c r="Y174" s="18">
        <v>103.61098520391501</v>
      </c>
      <c r="Z174" s="18">
        <v>5.5739684892260799</v>
      </c>
      <c r="AA174" s="18">
        <v>5.4031436670113203E-2</v>
      </c>
      <c r="AB174" s="18">
        <v>0.262591945648391</v>
      </c>
      <c r="AC174" s="18">
        <v>2.6583284396326601</v>
      </c>
      <c r="AD174" s="18">
        <v>3.1247859856390201E-2</v>
      </c>
      <c r="AE174" s="18">
        <v>79.923719186336498</v>
      </c>
      <c r="AF174" s="18">
        <v>1.8685513177986499</v>
      </c>
      <c r="AG174" s="18">
        <v>30.119163146555199</v>
      </c>
      <c r="AH174" s="18">
        <v>0.68549511290409304</v>
      </c>
      <c r="AI174" s="18">
        <v>15.7917684595458</v>
      </c>
      <c r="AJ174" s="18">
        <v>0.75080761755941405</v>
      </c>
      <c r="AL174" s="18">
        <v>5.9027764177539403E-2</v>
      </c>
      <c r="AM174" s="18">
        <v>0.24921597755019101</v>
      </c>
    </row>
    <row r="175" spans="1:39" x14ac:dyDescent="0.2">
      <c r="A175" s="18" t="s">
        <v>451</v>
      </c>
      <c r="B175" s="18">
        <v>0.18076136709166801</v>
      </c>
      <c r="C175" s="18">
        <v>1.8116356112920799E-3</v>
      </c>
      <c r="D175" s="18">
        <v>8.3466604424143002E-3</v>
      </c>
      <c r="E175" s="18">
        <v>1070.8557348888801</v>
      </c>
      <c r="F175" s="18">
        <v>9.8906633226160405</v>
      </c>
      <c r="G175" s="18">
        <v>45.568770998732298</v>
      </c>
      <c r="H175" s="18">
        <v>1.84697654561782</v>
      </c>
      <c r="I175" s="18">
        <v>5.2600407168422597E-2</v>
      </c>
      <c r="J175" s="18">
        <v>0.123998756700348</v>
      </c>
      <c r="K175" s="18">
        <v>1058.56512817661</v>
      </c>
      <c r="L175" s="18">
        <v>18.4202155816972</v>
      </c>
      <c r="M175" s="18">
        <v>43.423310830453801</v>
      </c>
      <c r="N175" s="18">
        <v>5.2265385416300297E-2</v>
      </c>
      <c r="O175" s="18">
        <v>2.4984217431145801E-3</v>
      </c>
      <c r="P175" s="18">
        <v>3.0757665860638899E-3</v>
      </c>
      <c r="Q175" s="18">
        <v>1027.6447755537699</v>
      </c>
      <c r="R175" s="18">
        <v>47.902668580287603</v>
      </c>
      <c r="S175" s="18">
        <v>58.972200273468303</v>
      </c>
      <c r="T175" s="18">
        <v>7.4279813756318702E-2</v>
      </c>
      <c r="U175" s="18">
        <v>2.1432979016661798E-3</v>
      </c>
      <c r="V175" s="18">
        <v>3.69574495668733E-3</v>
      </c>
      <c r="W175" s="18">
        <v>1016.63152821377</v>
      </c>
      <c r="X175" s="18">
        <v>58.289235963046202</v>
      </c>
      <c r="Y175" s="18">
        <v>100.509663016102</v>
      </c>
      <c r="Z175" s="18">
        <v>5.5392550872891997</v>
      </c>
      <c r="AA175" s="18">
        <v>5.5982642978180702E-2</v>
      </c>
      <c r="AB175" s="18">
        <v>0.25792610207883998</v>
      </c>
      <c r="AC175" s="18">
        <v>2.6736904059555902</v>
      </c>
      <c r="AD175" s="18">
        <v>2.9201623516310001E-2</v>
      </c>
      <c r="AE175" s="18">
        <v>78.470548873299904</v>
      </c>
      <c r="AF175" s="18">
        <v>2.1032085864745298</v>
      </c>
      <c r="AG175" s="18">
        <v>29.6334927129009</v>
      </c>
      <c r="AH175" s="18">
        <v>0.70075488832173605</v>
      </c>
      <c r="AI175" s="18">
        <v>14.4072910231036</v>
      </c>
      <c r="AJ175" s="18">
        <v>0.72107072283777396</v>
      </c>
      <c r="AL175" s="18">
        <v>0.13665850084136999</v>
      </c>
      <c r="AM175" s="18">
        <v>0.198346932166828</v>
      </c>
    </row>
    <row r="176" spans="1:39" x14ac:dyDescent="0.2">
      <c r="A176" s="18" t="s">
        <v>452</v>
      </c>
      <c r="B176" s="18">
        <v>0.17909032072905201</v>
      </c>
      <c r="C176" s="18">
        <v>1.70108410006893E-3</v>
      </c>
      <c r="D176" s="18">
        <v>8.2498368806803706E-3</v>
      </c>
      <c r="E176" s="18">
        <v>1061.7581382844401</v>
      </c>
      <c r="F176" s="18">
        <v>9.3021512309024104</v>
      </c>
      <c r="G176" s="18">
        <v>45.113131262149302</v>
      </c>
      <c r="H176" s="18">
        <v>1.8046610198986901</v>
      </c>
      <c r="I176" s="18">
        <v>5.6089050304899399E-2</v>
      </c>
      <c r="J176" s="18">
        <v>0.123217275369229</v>
      </c>
      <c r="K176" s="18">
        <v>1039.67793165445</v>
      </c>
      <c r="L176" s="18">
        <v>20.457155969618999</v>
      </c>
      <c r="M176" s="18">
        <v>44.940590127261203</v>
      </c>
      <c r="N176" s="18">
        <v>5.0889965879920798E-2</v>
      </c>
      <c r="O176" s="18">
        <v>2.4014668581162002E-3</v>
      </c>
      <c r="P176" s="18">
        <v>2.9695225009335299E-3</v>
      </c>
      <c r="Q176" s="18">
        <v>1001.36169529251</v>
      </c>
      <c r="R176" s="18">
        <v>46.088916252153702</v>
      </c>
      <c r="S176" s="18">
        <v>56.991031707083899</v>
      </c>
      <c r="T176" s="18">
        <v>7.30186283209283E-2</v>
      </c>
      <c r="U176" s="18">
        <v>2.3302883936109301E-3</v>
      </c>
      <c r="V176" s="18">
        <v>3.7669682297950102E-3</v>
      </c>
      <c r="W176" s="18">
        <v>987.22158251325504</v>
      </c>
      <c r="X176" s="18">
        <v>64.819103411462095</v>
      </c>
      <c r="Y176" s="18">
        <v>104.781667326771</v>
      </c>
      <c r="Z176" s="18">
        <v>5.5875614065635704</v>
      </c>
      <c r="AA176" s="18">
        <v>5.1729111978201403E-2</v>
      </c>
      <c r="AB176" s="18">
        <v>0.25087339055448099</v>
      </c>
      <c r="AC176" s="18">
        <v>2.6593666316250801</v>
      </c>
      <c r="AD176" s="18">
        <v>2.8186910330588701E-2</v>
      </c>
      <c r="AE176" s="18">
        <v>79.463946680722501</v>
      </c>
      <c r="AF176" s="18">
        <v>1.8821404103422199</v>
      </c>
      <c r="AG176" s="18">
        <v>30.020099076497399</v>
      </c>
      <c r="AH176" s="18">
        <v>0.70454165060867102</v>
      </c>
      <c r="AI176" s="18">
        <v>14.4904563378866</v>
      </c>
      <c r="AJ176" s="18">
        <v>0.71701139728065699</v>
      </c>
      <c r="AL176" s="18">
        <v>-4.3717101997329803E-2</v>
      </c>
      <c r="AM176" s="18">
        <v>0.32092346895817098</v>
      </c>
    </row>
    <row r="177" spans="1:39" x14ac:dyDescent="0.2">
      <c r="A177" s="18" t="s">
        <v>453</v>
      </c>
      <c r="B177" s="18">
        <v>0.17915816658877201</v>
      </c>
      <c r="C177" s="18">
        <v>1.72236038514232E-3</v>
      </c>
      <c r="D177" s="18">
        <v>8.2581810662728204E-3</v>
      </c>
      <c r="E177" s="18">
        <v>1062.1234103490001</v>
      </c>
      <c r="F177" s="18">
        <v>9.4045821193350694</v>
      </c>
      <c r="G177" s="18">
        <v>45.092039194621499</v>
      </c>
      <c r="H177" s="18">
        <v>1.83474080678441</v>
      </c>
      <c r="I177" s="18">
        <v>5.6139658345448901E-2</v>
      </c>
      <c r="J177" s="18">
        <v>0.124871377812211</v>
      </c>
      <c r="K177" s="18">
        <v>1053.1882783813801</v>
      </c>
      <c r="L177" s="18">
        <v>20.820363324824999</v>
      </c>
      <c r="M177" s="18">
        <v>46.310710316826999</v>
      </c>
      <c r="N177" s="18">
        <v>5.27834597433448E-2</v>
      </c>
      <c r="O177" s="18">
        <v>2.5842418594409699E-3</v>
      </c>
      <c r="P177" s="18">
        <v>3.1560285845031099E-3</v>
      </c>
      <c r="Q177" s="18">
        <v>1037.45008913775</v>
      </c>
      <c r="R177" s="18">
        <v>49.535330797136801</v>
      </c>
      <c r="S177" s="18">
        <v>60.495467700689503</v>
      </c>
      <c r="T177" s="18">
        <v>7.4284649225095506E-2</v>
      </c>
      <c r="U177" s="18">
        <v>2.3085536903197199E-3</v>
      </c>
      <c r="V177" s="18">
        <v>3.79421284561254E-3</v>
      </c>
      <c r="W177" s="18">
        <v>1016.63631964681</v>
      </c>
      <c r="X177" s="18">
        <v>64.361497681109199</v>
      </c>
      <c r="Y177" s="18">
        <v>105.781044767777</v>
      </c>
      <c r="Z177" s="18">
        <v>5.5869769829303504</v>
      </c>
      <c r="AA177" s="18">
        <v>5.4678334218825703E-2</v>
      </c>
      <c r="AB177" s="18">
        <v>0.262165565509063</v>
      </c>
      <c r="AC177" s="18">
        <v>2.6820617733977801</v>
      </c>
      <c r="AD177" s="18">
        <v>2.97344295667515E-2</v>
      </c>
      <c r="AE177" s="18">
        <v>79.918544128673702</v>
      </c>
      <c r="AF177" s="18">
        <v>1.9371079266459501</v>
      </c>
      <c r="AG177" s="18">
        <v>29.827364879891402</v>
      </c>
      <c r="AH177" s="18">
        <v>0.74711715558164205</v>
      </c>
      <c r="AI177" s="18">
        <v>14.925938773085401</v>
      </c>
      <c r="AJ177" s="18">
        <v>0.75041432308100398</v>
      </c>
      <c r="AL177" s="18">
        <v>0.11944310538462501</v>
      </c>
      <c r="AM177" s="18">
        <v>0.183758868961406</v>
      </c>
    </row>
    <row r="178" spans="1:39" x14ac:dyDescent="0.2">
      <c r="A178" s="18" t="s">
        <v>454</v>
      </c>
      <c r="B178" s="18">
        <v>0.178884764114904</v>
      </c>
      <c r="C178" s="18">
        <v>1.6815916300242601E-3</v>
      </c>
      <c r="D178" s="18">
        <v>8.2372641503880104E-3</v>
      </c>
      <c r="E178" s="18">
        <v>1061.8097612066499</v>
      </c>
      <c r="F178" s="18">
        <v>9.4617530517232407</v>
      </c>
      <c r="G178" s="18">
        <v>46.348327275903301</v>
      </c>
      <c r="H178" s="18">
        <v>1.94024510315738</v>
      </c>
      <c r="I178" s="18">
        <v>5.5785445665121398E-2</v>
      </c>
      <c r="J178" s="18">
        <v>0.13048299243138101</v>
      </c>
      <c r="K178" s="18">
        <v>1088.2272472121199</v>
      </c>
      <c r="L178" s="18">
        <v>19.693904241889999</v>
      </c>
      <c r="M178" s="18">
        <v>46.064336808651298</v>
      </c>
      <c r="N178" s="18">
        <v>5.36161741455412E-2</v>
      </c>
      <c r="O178" s="18">
        <v>2.3699697403473702E-3</v>
      </c>
      <c r="P178" s="18">
        <v>3.0005716125516401E-3</v>
      </c>
      <c r="Q178" s="18">
        <v>1053.78747092033</v>
      </c>
      <c r="R178" s="18">
        <v>45.3726102155699</v>
      </c>
      <c r="S178" s="18">
        <v>57.445360538761399</v>
      </c>
      <c r="T178" s="18">
        <v>7.8744542584373106E-2</v>
      </c>
      <c r="U178" s="18">
        <v>2.3046662825770099E-3</v>
      </c>
      <c r="V178" s="18">
        <v>3.9370849606814298E-3</v>
      </c>
      <c r="W178" s="18">
        <v>1138.0844344217901</v>
      </c>
      <c r="X178" s="18">
        <v>59.308422217069001</v>
      </c>
      <c r="Y178" s="18">
        <v>101.31718371454301</v>
      </c>
      <c r="Z178" s="18">
        <v>5.5888619788871603</v>
      </c>
      <c r="AA178" s="18">
        <v>5.2859048536677E-2</v>
      </c>
      <c r="AB178" s="18">
        <v>0.25892965792682199</v>
      </c>
      <c r="AC178" s="18">
        <v>2.6600913732235099</v>
      </c>
      <c r="AD178" s="18">
        <v>2.84124209772624E-2</v>
      </c>
      <c r="AE178" s="18">
        <v>80.632270725142504</v>
      </c>
      <c r="AF178" s="18">
        <v>1.9900347407455401</v>
      </c>
      <c r="AG178" s="18">
        <v>30.163878181356999</v>
      </c>
      <c r="AH178" s="18">
        <v>0.68549473549370499</v>
      </c>
      <c r="AI178" s="18">
        <v>15.4095794123931</v>
      </c>
      <c r="AJ178" s="18">
        <v>0.71385110143550101</v>
      </c>
      <c r="AL178" s="18">
        <v>8.6838595903573804E-2</v>
      </c>
      <c r="AM178" s="18">
        <v>0.23244809196879099</v>
      </c>
    </row>
    <row r="179" spans="1:39" x14ac:dyDescent="0.2">
      <c r="A179" s="18" t="s">
        <v>455</v>
      </c>
      <c r="B179" s="18">
        <v>0.18179121401582801</v>
      </c>
      <c r="C179" s="18">
        <v>1.9744839043804802E-3</v>
      </c>
      <c r="D179" s="18">
        <v>8.4287201054219895E-3</v>
      </c>
      <c r="E179" s="18">
        <v>1077.77650889852</v>
      </c>
      <c r="F179" s="18">
        <v>10.4699388524299</v>
      </c>
      <c r="G179" s="18">
        <v>44.694304122830403</v>
      </c>
      <c r="H179" s="18">
        <v>1.8037276550157799</v>
      </c>
      <c r="I179" s="18">
        <v>5.9094154891797299E-2</v>
      </c>
      <c r="J179" s="18">
        <v>0.12456325680553</v>
      </c>
      <c r="K179" s="18">
        <v>1041.0916944109299</v>
      </c>
      <c r="L179" s="18">
        <v>21.911967739765601</v>
      </c>
      <c r="M179" s="18">
        <v>46.187750204407998</v>
      </c>
      <c r="N179" s="18">
        <v>5.5343060877922103E-2</v>
      </c>
      <c r="O179" s="18">
        <v>2.7131408877009598E-3</v>
      </c>
      <c r="P179" s="18">
        <v>3.3120214012508798E-3</v>
      </c>
      <c r="Q179" s="18">
        <v>1086.3259201072301</v>
      </c>
      <c r="R179" s="18">
        <v>52.003154062462798</v>
      </c>
      <c r="S179" s="18">
        <v>63.4819813332183</v>
      </c>
      <c r="T179" s="18">
        <v>7.2650626912754701E-2</v>
      </c>
      <c r="U179" s="18">
        <v>2.4708653500056001E-3</v>
      </c>
      <c r="V179" s="18">
        <v>3.8440464755342802E-3</v>
      </c>
      <c r="W179" s="18">
        <v>945.48624580447404</v>
      </c>
      <c r="X179" s="18">
        <v>72.012065231818099</v>
      </c>
      <c r="Y179" s="18">
        <v>112.032703663795</v>
      </c>
      <c r="Z179" s="18">
        <v>5.5014008717086202</v>
      </c>
      <c r="AA179" s="18">
        <v>5.6341951673440603E-2</v>
      </c>
      <c r="AB179" s="18">
        <v>0.24051375642773101</v>
      </c>
      <c r="AC179" s="18">
        <v>2.6577918541015402</v>
      </c>
      <c r="AD179" s="18">
        <v>3.26667643568389E-2</v>
      </c>
      <c r="AE179" s="18">
        <v>79.779230753724093</v>
      </c>
      <c r="AF179" s="18">
        <v>1.7834595206602299</v>
      </c>
      <c r="AG179" s="18">
        <v>30.0053426192889</v>
      </c>
      <c r="AH179" s="18">
        <v>0.62631711747183505</v>
      </c>
      <c r="AI179" s="18">
        <v>15.436737146594201</v>
      </c>
      <c r="AJ179" s="18">
        <v>0.77734490633706799</v>
      </c>
      <c r="AL179" s="18">
        <v>0.11857828922453</v>
      </c>
      <c r="AM179" s="18">
        <v>0.19596388163811601</v>
      </c>
    </row>
    <row r="180" spans="1:39" x14ac:dyDescent="0.2">
      <c r="A180" s="18" t="s">
        <v>456</v>
      </c>
      <c r="B180" s="18">
        <v>0.17902398802442099</v>
      </c>
      <c r="C180" s="18">
        <v>2.0659152267381801E-3</v>
      </c>
      <c r="D180" s="18">
        <v>8.3297681769181706E-3</v>
      </c>
      <c r="E180" s="18">
        <v>1061.2802470813001</v>
      </c>
      <c r="F180" s="18">
        <v>11.271720276730999</v>
      </c>
      <c r="G180" s="18">
        <v>45.447565149359498</v>
      </c>
      <c r="H180" s="18">
        <v>1.8582145102337599</v>
      </c>
      <c r="I180" s="18">
        <v>5.7238890168604797E-2</v>
      </c>
      <c r="J180" s="18">
        <v>0.126645038423193</v>
      </c>
      <c r="K180" s="18">
        <v>1058.8625984770699</v>
      </c>
      <c r="L180" s="18">
        <v>20.490028977043</v>
      </c>
      <c r="M180" s="18">
        <v>45.3356188326878</v>
      </c>
      <c r="N180" s="18">
        <v>5.31700230351103E-2</v>
      </c>
      <c r="O180" s="18">
        <v>2.44746008773382E-3</v>
      </c>
      <c r="P180" s="18">
        <v>3.0529843804840899E-3</v>
      </c>
      <c r="Q180" s="18">
        <v>1045.1034248651099</v>
      </c>
      <c r="R180" s="18">
        <v>46.843395655439103</v>
      </c>
      <c r="S180" s="18">
        <v>58.432885578661903</v>
      </c>
      <c r="T180" s="18">
        <v>7.5344095455237098E-2</v>
      </c>
      <c r="U180" s="18">
        <v>2.27474836249441E-3</v>
      </c>
      <c r="V180" s="18">
        <v>3.8080663480180698E-3</v>
      </c>
      <c r="W180" s="18">
        <v>1038.34144454226</v>
      </c>
      <c r="X180" s="18">
        <v>63.448394678763499</v>
      </c>
      <c r="Y180" s="18">
        <v>106.21645039762601</v>
      </c>
      <c r="Z180" s="18">
        <v>5.60676587290114</v>
      </c>
      <c r="AA180" s="18">
        <v>6.3572910455664294E-2</v>
      </c>
      <c r="AB180" s="18">
        <v>0.256325912880632</v>
      </c>
      <c r="AC180" s="18">
        <v>2.6750295622876998</v>
      </c>
      <c r="AD180" s="18">
        <v>3.2141619179850298E-2</v>
      </c>
      <c r="AE180" s="18">
        <v>79.982412218818794</v>
      </c>
      <c r="AF180" s="18">
        <v>1.76160698517898</v>
      </c>
      <c r="AG180" s="18">
        <v>29.972998017722801</v>
      </c>
      <c r="AH180" s="18">
        <v>0.63584594301014297</v>
      </c>
      <c r="AI180" s="18">
        <v>14.576883533811699</v>
      </c>
      <c r="AJ180" s="18">
        <v>0.68854303069629497</v>
      </c>
      <c r="AL180" s="18">
        <v>0.22900966306213</v>
      </c>
      <c r="AM180" s="18">
        <v>0.17596408090473001</v>
      </c>
    </row>
    <row r="181" spans="1:39" x14ac:dyDescent="0.2">
      <c r="A181" s="18" t="s">
        <v>457</v>
      </c>
      <c r="B181" s="18">
        <v>0.17853921131648601</v>
      </c>
      <c r="C181" s="18">
        <v>1.9075560215258899E-3</v>
      </c>
      <c r="D181" s="18">
        <v>8.2710332731337106E-3</v>
      </c>
      <c r="E181" s="18">
        <v>1058.6816911441799</v>
      </c>
      <c r="F181" s="18">
        <v>10.4191959598</v>
      </c>
      <c r="G181" s="18">
        <v>45.176925600261399</v>
      </c>
      <c r="H181" s="18">
        <v>1.8674169241737499</v>
      </c>
      <c r="I181" s="18">
        <v>5.95240912480084E-2</v>
      </c>
      <c r="J181" s="18">
        <v>0.128184889029759</v>
      </c>
      <c r="K181" s="18">
        <v>1061.7599013685799</v>
      </c>
      <c r="L181" s="18">
        <v>20.859275067825301</v>
      </c>
      <c r="M181" s="18">
        <v>44.920364238233901</v>
      </c>
      <c r="N181" s="18">
        <v>5.3763930607346397E-2</v>
      </c>
      <c r="O181" s="18">
        <v>2.3968964655300602E-3</v>
      </c>
      <c r="P181" s="18">
        <v>3.0249534232406798E-3</v>
      </c>
      <c r="Q181" s="18">
        <v>1056.5793453853801</v>
      </c>
      <c r="R181" s="18">
        <v>45.891271443735398</v>
      </c>
      <c r="S181" s="18">
        <v>57.916126393842902</v>
      </c>
      <c r="T181" s="18">
        <v>7.5718527785780407E-2</v>
      </c>
      <c r="U181" s="18">
        <v>2.34473496883562E-3</v>
      </c>
      <c r="V181" s="18">
        <v>3.86225548107889E-3</v>
      </c>
      <c r="W181" s="18">
        <v>1055.9000999739801</v>
      </c>
      <c r="X181" s="18">
        <v>62.204508492654199</v>
      </c>
      <c r="Y181" s="18">
        <v>102.46347969676</v>
      </c>
      <c r="Z181" s="18">
        <v>5.6114964978965096</v>
      </c>
      <c r="AA181" s="18">
        <v>5.9427357161383199E-2</v>
      </c>
      <c r="AB181" s="18">
        <v>0.25767298200921002</v>
      </c>
      <c r="AC181" s="18">
        <v>2.6729717184678399</v>
      </c>
      <c r="AD181" s="18">
        <v>3.3302608586294198E-2</v>
      </c>
      <c r="AE181" s="18">
        <v>79.971960603088604</v>
      </c>
      <c r="AF181" s="18">
        <v>1.7892626939660099</v>
      </c>
      <c r="AG181" s="18">
        <v>29.907899582208</v>
      </c>
      <c r="AH181" s="18">
        <v>0.70371185131164204</v>
      </c>
      <c r="AI181" s="18">
        <v>14.878709452858899</v>
      </c>
      <c r="AJ181" s="18">
        <v>0.67982925423566598</v>
      </c>
      <c r="AL181" s="18">
        <v>0.19014417688115701</v>
      </c>
      <c r="AM181" s="18">
        <v>0.162096132951946</v>
      </c>
    </row>
    <row r="182" spans="1:39" x14ac:dyDescent="0.2">
      <c r="A182" s="18" t="s">
        <v>458</v>
      </c>
      <c r="B182" s="18">
        <v>0.18046480761337499</v>
      </c>
      <c r="C182" s="18">
        <v>1.8204365563535001E-3</v>
      </c>
      <c r="D182" s="18">
        <v>8.3359452213164504E-3</v>
      </c>
      <c r="E182" s="18">
        <v>1069.2353536102501</v>
      </c>
      <c r="F182" s="18">
        <v>9.9463650454974104</v>
      </c>
      <c r="G182" s="18">
        <v>45.545313777132698</v>
      </c>
      <c r="H182" s="18">
        <v>1.84593037097265</v>
      </c>
      <c r="I182" s="18">
        <v>5.97856998901653E-2</v>
      </c>
      <c r="J182" s="18">
        <v>0.127152590847776</v>
      </c>
      <c r="K182" s="18">
        <v>1053.72911357152</v>
      </c>
      <c r="L182" s="18">
        <v>21.619690247500699</v>
      </c>
      <c r="M182" s="18">
        <v>45.980888964190598</v>
      </c>
      <c r="N182" s="18">
        <v>5.4824987382487998E-2</v>
      </c>
      <c r="O182" s="18">
        <v>2.5860481726825099E-3</v>
      </c>
      <c r="P182" s="18">
        <v>3.1982165429080499E-3</v>
      </c>
      <c r="Q182" s="18">
        <v>1076.62343048765</v>
      </c>
      <c r="R182" s="18">
        <v>49.548912108406</v>
      </c>
      <c r="S182" s="18">
        <v>61.278112319084201</v>
      </c>
      <c r="T182" s="18">
        <v>7.4434557323056899E-2</v>
      </c>
      <c r="U182" s="18">
        <v>2.43523263154729E-3</v>
      </c>
      <c r="V182" s="18">
        <v>3.8772263813371399E-3</v>
      </c>
      <c r="W182" s="18">
        <v>1015.19095732131</v>
      </c>
      <c r="X182" s="18">
        <v>67.289515280711598</v>
      </c>
      <c r="Y182" s="18">
        <v>107.134193445821</v>
      </c>
      <c r="Z182" s="18">
        <v>5.5405904010727598</v>
      </c>
      <c r="AA182" s="18">
        <v>5.4552778322245303E-2</v>
      </c>
      <c r="AB182" s="18">
        <v>0.249802153322915</v>
      </c>
      <c r="AC182" s="18">
        <v>2.6599774906290898</v>
      </c>
      <c r="AD182" s="18">
        <v>3.42053229054931E-2</v>
      </c>
      <c r="AE182" s="18">
        <v>80.177330533747096</v>
      </c>
      <c r="AF182" s="18">
        <v>1.90480831825382</v>
      </c>
      <c r="AG182" s="18">
        <v>30.095735078501701</v>
      </c>
      <c r="AH182" s="18">
        <v>0.69351207072519006</v>
      </c>
      <c r="AI182" s="18">
        <v>15.3451093011019</v>
      </c>
      <c r="AJ182" s="18">
        <v>0.72888464469001502</v>
      </c>
      <c r="AL182" s="18">
        <v>9.7401508136576304E-2</v>
      </c>
      <c r="AM182" s="18">
        <v>0.215255232525673</v>
      </c>
    </row>
    <row r="183" spans="1:39" x14ac:dyDescent="0.2">
      <c r="A183" s="18" t="s">
        <v>459</v>
      </c>
      <c r="B183" s="18">
        <v>0.178524106026764</v>
      </c>
      <c r="C183" s="18">
        <v>1.99254853068899E-3</v>
      </c>
      <c r="D183" s="18">
        <v>8.2904144645856992E-3</v>
      </c>
      <c r="E183" s="18">
        <v>1058.5705450129101</v>
      </c>
      <c r="F183" s="18">
        <v>10.8951548536094</v>
      </c>
      <c r="G183" s="18">
        <v>45.3315680903547</v>
      </c>
      <c r="H183" s="18">
        <v>1.80878899572953</v>
      </c>
      <c r="I183" s="18">
        <v>5.2632631231720399E-2</v>
      </c>
      <c r="J183" s="18">
        <v>0.121911746439955</v>
      </c>
      <c r="K183" s="18">
        <v>1041.99171125269</v>
      </c>
      <c r="L183" s="18">
        <v>19.3662941972303</v>
      </c>
      <c r="M183" s="18">
        <v>44.8576993473852</v>
      </c>
      <c r="N183" s="18">
        <v>5.5116400036889897E-2</v>
      </c>
      <c r="O183" s="18">
        <v>2.6042480916347302E-3</v>
      </c>
      <c r="P183" s="18">
        <v>3.2188331878324501E-3</v>
      </c>
      <c r="Q183" s="18">
        <v>1082.1604001030801</v>
      </c>
      <c r="R183" s="18">
        <v>49.898460868043202</v>
      </c>
      <c r="S183" s="18">
        <v>61.674163218065701</v>
      </c>
      <c r="T183" s="18">
        <v>7.3140657361708605E-2</v>
      </c>
      <c r="U183" s="18">
        <v>2.2759915211040499E-3</v>
      </c>
      <c r="V183" s="18">
        <v>3.7375625490814299E-3</v>
      </c>
      <c r="W183" s="18">
        <v>997.64804237671001</v>
      </c>
      <c r="X183" s="18">
        <v>59.791779844394704</v>
      </c>
      <c r="Y183" s="18">
        <v>98.188202819370403</v>
      </c>
      <c r="Z183" s="18">
        <v>5.6027847085167402</v>
      </c>
      <c r="AA183" s="18">
        <v>6.2946654779673705E-2</v>
      </c>
      <c r="AB183" s="18">
        <v>0.26190270863929299</v>
      </c>
      <c r="AC183" s="18">
        <v>2.65765270299205</v>
      </c>
      <c r="AD183" s="18">
        <v>3.6904539877416702E-2</v>
      </c>
      <c r="AE183" s="18">
        <v>80.112303610855193</v>
      </c>
      <c r="AF183" s="18">
        <v>1.87684637963819</v>
      </c>
      <c r="AG183" s="18">
        <v>30.1060834937118</v>
      </c>
      <c r="AH183" s="18">
        <v>0.64242573237454803</v>
      </c>
      <c r="AI183" s="18">
        <v>15.407627887071101</v>
      </c>
      <c r="AJ183" s="18">
        <v>0.75149971138748495</v>
      </c>
      <c r="AL183" s="18">
        <v>7.73162315795934E-2</v>
      </c>
      <c r="AM183" s="18">
        <v>0.27924597809659801</v>
      </c>
    </row>
    <row r="184" spans="1:39" x14ac:dyDescent="0.2">
      <c r="A184" s="18" t="s">
        <v>460</v>
      </c>
      <c r="B184" s="18">
        <v>0.17834874985669799</v>
      </c>
      <c r="C184" s="18">
        <v>1.9368081379734399E-3</v>
      </c>
      <c r="D184" s="18">
        <v>8.2701990294066999E-3</v>
      </c>
      <c r="E184" s="18">
        <v>1057.6327339194299</v>
      </c>
      <c r="F184" s="18">
        <v>10.5717886045291</v>
      </c>
      <c r="G184" s="18">
        <v>45.141691705070897</v>
      </c>
      <c r="H184" s="18">
        <v>1.89301799305967</v>
      </c>
      <c r="I184" s="18">
        <v>6.4093999592418405E-2</v>
      </c>
      <c r="J184" s="18">
        <v>0.13172850412443701</v>
      </c>
      <c r="K184" s="18">
        <v>1069.4427403382899</v>
      </c>
      <c r="L184" s="18">
        <v>22.843317535725902</v>
      </c>
      <c r="M184" s="18">
        <v>46.9484829680787</v>
      </c>
      <c r="N184" s="18">
        <v>5.3069004981968801E-2</v>
      </c>
      <c r="O184" s="18">
        <v>2.3577148266081399E-3</v>
      </c>
      <c r="P184" s="18">
        <v>2.97937425542623E-3</v>
      </c>
      <c r="Q184" s="18">
        <v>1043.3148445778399</v>
      </c>
      <c r="R184" s="18">
        <v>45.220502431862201</v>
      </c>
      <c r="S184" s="18">
        <v>57.143806894048097</v>
      </c>
      <c r="T184" s="18">
        <v>7.6611284541527103E-2</v>
      </c>
      <c r="U184" s="18">
        <v>2.60977751675913E-3</v>
      </c>
      <c r="V184" s="18">
        <v>4.0564788768411601E-3</v>
      </c>
      <c r="W184" s="18">
        <v>1062.18275073358</v>
      </c>
      <c r="X184" s="18">
        <v>69.696282452819901</v>
      </c>
      <c r="Y184" s="18">
        <v>108.331647333413</v>
      </c>
      <c r="Z184" s="18">
        <v>5.60593885303149</v>
      </c>
      <c r="AA184" s="18">
        <v>5.9955742244042098E-2</v>
      </c>
      <c r="AB184" s="18">
        <v>0.25601189482447001</v>
      </c>
      <c r="AC184" s="18">
        <v>2.6753821597526302</v>
      </c>
      <c r="AD184" s="18">
        <v>3.5307444931213898E-2</v>
      </c>
      <c r="AE184" s="18">
        <v>79.992923826968493</v>
      </c>
      <c r="AF184" s="18">
        <v>1.9175688178652399</v>
      </c>
      <c r="AG184" s="18">
        <v>29.861833558465801</v>
      </c>
      <c r="AH184" s="18">
        <v>0.69806186037518603</v>
      </c>
      <c r="AI184" s="18">
        <v>14.7055444284305</v>
      </c>
      <c r="AJ184" s="18">
        <v>0.68258116069954899</v>
      </c>
      <c r="AL184" s="18">
        <v>0.15670730588954901</v>
      </c>
      <c r="AM184" s="18">
        <v>0.17501805618998301</v>
      </c>
    </row>
    <row r="185" spans="1:39" x14ac:dyDescent="0.2">
      <c r="A185" s="18" t="s">
        <v>461</v>
      </c>
      <c r="B185" s="18">
        <v>0.17786769323216101</v>
      </c>
      <c r="C185" s="18">
        <v>2.08364710678269E-3</v>
      </c>
      <c r="D185" s="18">
        <v>8.2839095219938898E-3</v>
      </c>
      <c r="E185" s="18">
        <v>1054.94769494514</v>
      </c>
      <c r="F185" s="18">
        <v>11.3880728670986</v>
      </c>
      <c r="G185" s="18">
        <v>45.275308354197897</v>
      </c>
      <c r="H185" s="18">
        <v>1.84035374301237</v>
      </c>
      <c r="I185" s="18">
        <v>5.9798406839758997E-2</v>
      </c>
      <c r="J185" s="18">
        <v>0.12685823525515</v>
      </c>
      <c r="K185" s="18">
        <v>1051.8084471120801</v>
      </c>
      <c r="L185" s="18">
        <v>21.350048048313798</v>
      </c>
      <c r="M185" s="18">
        <v>45.292668503351202</v>
      </c>
      <c r="N185" s="18">
        <v>5.4865950174552203E-2</v>
      </c>
      <c r="O185" s="18">
        <v>2.4142487401200398E-3</v>
      </c>
      <c r="P185" s="18">
        <v>3.0618481224716099E-3</v>
      </c>
      <c r="Q185" s="18">
        <v>1077.6809962365201</v>
      </c>
      <c r="R185" s="18">
        <v>46.200544348924701</v>
      </c>
      <c r="S185" s="18">
        <v>58.593403248452098</v>
      </c>
      <c r="T185" s="18">
        <v>7.5034426257870504E-2</v>
      </c>
      <c r="U185" s="18">
        <v>2.68333394697386E-3</v>
      </c>
      <c r="V185" s="18">
        <v>4.0558759687389602E-3</v>
      </c>
      <c r="W185" s="18">
        <v>1026.9623588996201</v>
      </c>
      <c r="X185" s="18">
        <v>69.033187124406595</v>
      </c>
      <c r="Y185" s="18">
        <v>104.344092176488</v>
      </c>
      <c r="Z185" s="18">
        <v>5.6231248973699497</v>
      </c>
      <c r="AA185" s="18">
        <v>6.5332288631980595E-2</v>
      </c>
      <c r="AB185" s="18">
        <v>0.25974012880126401</v>
      </c>
      <c r="AC185" s="18">
        <v>2.6665234294114799</v>
      </c>
      <c r="AD185" s="18">
        <v>3.71280334205384E-2</v>
      </c>
      <c r="AE185" s="18">
        <v>80.062085282211299</v>
      </c>
      <c r="AF185" s="18">
        <v>1.80597188536052</v>
      </c>
      <c r="AG185" s="18">
        <v>30.0540603275908</v>
      </c>
      <c r="AH185" s="18">
        <v>0.72236619873489905</v>
      </c>
      <c r="AI185" s="18">
        <v>15.069916107013899</v>
      </c>
      <c r="AJ185" s="18">
        <v>0.65396234297357203</v>
      </c>
      <c r="AL185" s="18">
        <v>-0.107980577899993</v>
      </c>
      <c r="AM185" s="18">
        <v>0.424177020377624</v>
      </c>
    </row>
    <row r="186" spans="1:39" x14ac:dyDescent="0.2">
      <c r="A186" s="18" t="s">
        <v>462</v>
      </c>
      <c r="B186" s="18">
        <v>0.18037873978694199</v>
      </c>
      <c r="C186" s="18">
        <v>2.0516730540543499E-3</v>
      </c>
      <c r="D186" s="18">
        <v>8.3854067236543203E-3</v>
      </c>
      <c r="E186" s="18">
        <v>1068.6880214159401</v>
      </c>
      <c r="F186" s="18">
        <v>11.2029993748643</v>
      </c>
      <c r="G186" s="18">
        <v>45.7878540137973</v>
      </c>
      <c r="H186" s="18">
        <v>1.88199927351331</v>
      </c>
      <c r="I186" s="18">
        <v>6.1298998743051801E-2</v>
      </c>
      <c r="J186" s="18">
        <v>0.12979775299617599</v>
      </c>
      <c r="K186" s="18">
        <v>1066.3889155522199</v>
      </c>
      <c r="L186" s="18">
        <v>21.6220629563716</v>
      </c>
      <c r="M186" s="18">
        <v>45.783703558404099</v>
      </c>
      <c r="N186" s="18">
        <v>5.3256037087065299E-2</v>
      </c>
      <c r="O186" s="18">
        <v>2.8226672675829702E-3</v>
      </c>
      <c r="P186" s="18">
        <v>3.3628454824860899E-3</v>
      </c>
      <c r="Q186" s="18">
        <v>1046.10047215853</v>
      </c>
      <c r="R186" s="18">
        <v>54.001838561676102</v>
      </c>
      <c r="S186" s="18">
        <v>64.336254201359694</v>
      </c>
      <c r="T186" s="18">
        <v>7.5550725686626102E-2</v>
      </c>
      <c r="U186" s="18">
        <v>2.5196242368583002E-3</v>
      </c>
      <c r="V186" s="18">
        <v>3.9656129944625603E-3</v>
      </c>
      <c r="W186" s="18">
        <v>1027.7944750649899</v>
      </c>
      <c r="X186" s="18">
        <v>69.129385739371997</v>
      </c>
      <c r="Y186" s="18">
        <v>108.80209293791</v>
      </c>
      <c r="Z186" s="18">
        <v>5.5437337954363102</v>
      </c>
      <c r="AA186" s="18">
        <v>6.34546280115343E-2</v>
      </c>
      <c r="AB186" s="18">
        <v>0.259345836474006</v>
      </c>
      <c r="AC186" s="18">
        <v>2.66624858778966</v>
      </c>
      <c r="AD186" s="18">
        <v>3.75452598048737E-2</v>
      </c>
      <c r="AE186" s="18">
        <v>79.903750260853002</v>
      </c>
      <c r="AF186" s="18">
        <v>1.7924225390556801</v>
      </c>
      <c r="AG186" s="18">
        <v>29.954803743773301</v>
      </c>
      <c r="AH186" s="18">
        <v>0.70609352208603604</v>
      </c>
      <c r="AI186" s="18">
        <v>14.7332308895532</v>
      </c>
      <c r="AJ186" s="18">
        <v>0.77073061318046598</v>
      </c>
      <c r="AL186" s="18">
        <v>0.11334706072067099</v>
      </c>
      <c r="AM186" s="18">
        <v>0.23948629039755501</v>
      </c>
    </row>
    <row r="187" spans="1:39" x14ac:dyDescent="0.2">
      <c r="A187" s="18" t="s">
        <v>463</v>
      </c>
      <c r="B187" s="18">
        <v>0.17969307285740899</v>
      </c>
      <c r="C187" s="18">
        <v>1.9834115732687602E-3</v>
      </c>
      <c r="D187" s="18">
        <v>8.3398540748622005E-3</v>
      </c>
      <c r="E187" s="18">
        <v>1064.96476870622</v>
      </c>
      <c r="F187" s="18">
        <v>10.846535694365899</v>
      </c>
      <c r="G187" s="18">
        <v>45.607541131624899</v>
      </c>
      <c r="H187" s="18">
        <v>1.8161192533097701</v>
      </c>
      <c r="I187" s="18">
        <v>5.7132748694434798E-2</v>
      </c>
      <c r="J187" s="18">
        <v>0.124316107656002</v>
      </c>
      <c r="K187" s="18">
        <v>1045.92525763255</v>
      </c>
      <c r="L187" s="18">
        <v>21.368772561291198</v>
      </c>
      <c r="M187" s="18">
        <v>46.496671189651003</v>
      </c>
      <c r="N187" s="18">
        <v>5.6080029181298403E-2</v>
      </c>
      <c r="O187" s="18">
        <v>2.9183080127867002E-3</v>
      </c>
      <c r="P187" s="18">
        <v>3.4959193993501099E-3</v>
      </c>
      <c r="Q187" s="18">
        <v>1100.05303066499</v>
      </c>
      <c r="R187" s="18">
        <v>55.700417634016397</v>
      </c>
      <c r="S187" s="18">
        <v>66.725023440112693</v>
      </c>
      <c r="T187" s="18">
        <v>7.3204412843834402E-2</v>
      </c>
      <c r="U187" s="18">
        <v>2.3678232294813101E-3</v>
      </c>
      <c r="V187" s="18">
        <v>3.79612941538481E-3</v>
      </c>
      <c r="W187" s="18">
        <v>980.52775855510401</v>
      </c>
      <c r="X187" s="18">
        <v>69.645521890135001</v>
      </c>
      <c r="Y187" s="18">
        <v>111.656736451092</v>
      </c>
      <c r="Z187" s="18">
        <v>5.5505166859569002</v>
      </c>
      <c r="AA187" s="18">
        <v>6.2300158539005099E-2</v>
      </c>
      <c r="AB187" s="18">
        <v>0.26195986655447401</v>
      </c>
      <c r="AC187" s="18">
        <v>2.6728509928693698</v>
      </c>
      <c r="AD187" s="18">
        <v>3.9922373985935698E-2</v>
      </c>
      <c r="AE187" s="18">
        <v>79.317522658548299</v>
      </c>
      <c r="AF187" s="18">
        <v>1.6278840425246299</v>
      </c>
      <c r="AG187" s="18">
        <v>29.841683605791001</v>
      </c>
      <c r="AH187" s="18">
        <v>0.60148243152271297</v>
      </c>
      <c r="AI187" s="18">
        <v>15.123730980318101</v>
      </c>
      <c r="AJ187" s="18">
        <v>0.74825920195842999</v>
      </c>
      <c r="AL187" s="18">
        <v>7.8860061519507196E-2</v>
      </c>
      <c r="AM187" s="18">
        <v>0.25114353087110303</v>
      </c>
    </row>
    <row r="188" spans="1:39" x14ac:dyDescent="0.2">
      <c r="A188" s="18" t="s">
        <v>464</v>
      </c>
      <c r="B188" s="18">
        <v>0.17824136739594901</v>
      </c>
      <c r="C188" s="18">
        <v>2.1231575200569399E-3</v>
      </c>
      <c r="D188" s="18">
        <v>8.3102311214632695E-3</v>
      </c>
      <c r="E188" s="18">
        <v>1056.9788788447099</v>
      </c>
      <c r="F188" s="18">
        <v>11.5950423042888</v>
      </c>
      <c r="G188" s="18">
        <v>45.384047345295301</v>
      </c>
      <c r="H188" s="18">
        <v>1.8621517320748</v>
      </c>
      <c r="I188" s="18">
        <v>5.9211664820110303E-2</v>
      </c>
      <c r="J188" s="18">
        <v>0.12775660088746699</v>
      </c>
      <c r="K188" s="18">
        <v>1059.9797655018299</v>
      </c>
      <c r="L188" s="18">
        <v>20.7260542812441</v>
      </c>
      <c r="M188" s="18">
        <v>44.719064272645902</v>
      </c>
      <c r="N188" s="18">
        <v>5.3882634050696702E-2</v>
      </c>
      <c r="O188" s="18">
        <v>2.2360349574871699E-3</v>
      </c>
      <c r="P188" s="18">
        <v>2.9017665015376899E-3</v>
      </c>
      <c r="Q188" s="18">
        <v>1059.10091459921</v>
      </c>
      <c r="R188" s="18">
        <v>42.854512251787398</v>
      </c>
      <c r="S188" s="18">
        <v>55.613525931509002</v>
      </c>
      <c r="T188" s="18">
        <v>7.5936131095067902E-2</v>
      </c>
      <c r="U188" s="18">
        <v>2.6633449060746201E-3</v>
      </c>
      <c r="V188" s="18">
        <v>4.0702095553406398E-3</v>
      </c>
      <c r="W188" s="18">
        <v>1033.1688618268299</v>
      </c>
      <c r="X188" s="18">
        <v>72.124574450705296</v>
      </c>
      <c r="Y188" s="18">
        <v>110.22310007035701</v>
      </c>
      <c r="Z188" s="18">
        <v>5.6160850736167802</v>
      </c>
      <c r="AA188" s="18">
        <v>6.6081805727398898E-2</v>
      </c>
      <c r="AB188" s="18">
        <v>0.25865018178377602</v>
      </c>
      <c r="AC188" s="18">
        <v>2.6623106195475001</v>
      </c>
      <c r="AD188" s="18">
        <v>3.4471075410781399E-2</v>
      </c>
      <c r="AE188" s="18">
        <v>80.805758295388003</v>
      </c>
      <c r="AF188" s="18">
        <v>1.8418023899640901</v>
      </c>
      <c r="AG188" s="18">
        <v>30.2528655818206</v>
      </c>
      <c r="AH188" s="18">
        <v>0.73727226231514698</v>
      </c>
      <c r="AI188" s="18">
        <v>15.0532701363698</v>
      </c>
      <c r="AJ188" s="18">
        <v>0.66676272792353097</v>
      </c>
      <c r="AL188" s="18">
        <v>-7.1237818896227004E-2</v>
      </c>
      <c r="AM188" s="18">
        <v>0.44852600249229801</v>
      </c>
    </row>
    <row r="189" spans="1:39" x14ac:dyDescent="0.2">
      <c r="A189" s="18" t="s">
        <v>465</v>
      </c>
      <c r="B189" s="18">
        <v>0.17992964724907501</v>
      </c>
      <c r="C189" s="18">
        <v>1.86854176085892E-3</v>
      </c>
      <c r="D189" s="18">
        <v>8.3235005154312699E-3</v>
      </c>
      <c r="E189" s="18">
        <v>1066.29549938781</v>
      </c>
      <c r="F189" s="18">
        <v>10.2021671577078</v>
      </c>
      <c r="G189" s="18">
        <v>45.44599718053</v>
      </c>
      <c r="H189" s="18">
        <v>1.83705062369629</v>
      </c>
      <c r="I189" s="18">
        <v>6.2842412959787194E-2</v>
      </c>
      <c r="J189" s="18">
        <v>0.12814456341113201</v>
      </c>
      <c r="K189" s="18">
        <v>1049.4881189523901</v>
      </c>
      <c r="L189" s="18">
        <v>22.957317990364</v>
      </c>
      <c r="M189" s="18">
        <v>46.813216622477697</v>
      </c>
      <c r="N189" s="18">
        <v>5.2441722955555103E-2</v>
      </c>
      <c r="O189" s="18">
        <v>2.5588722329144401E-3</v>
      </c>
      <c r="P189" s="18">
        <v>3.1285114061494401E-3</v>
      </c>
      <c r="Q189" s="18">
        <v>1030.9312321689799</v>
      </c>
      <c r="R189" s="18">
        <v>49.045717608266699</v>
      </c>
      <c r="S189" s="18">
        <v>59.963950128719397</v>
      </c>
      <c r="T189" s="18">
        <v>7.4056810707451903E-2</v>
      </c>
      <c r="U189" s="18">
        <v>2.6617157214468301E-3</v>
      </c>
      <c r="V189" s="18">
        <v>4.01184098378694E-3</v>
      </c>
      <c r="W189" s="18">
        <v>988.03724531303101</v>
      </c>
      <c r="X189" s="18">
        <v>74.004117615485896</v>
      </c>
      <c r="Y189" s="18">
        <v>111.541871142202</v>
      </c>
      <c r="Z189" s="18">
        <v>5.5522058155881604</v>
      </c>
      <c r="AA189" s="18">
        <v>5.60442485081089E-2</v>
      </c>
      <c r="AB189" s="18">
        <v>0.249651541707996</v>
      </c>
      <c r="AC189" s="18">
        <v>2.6590684386589101</v>
      </c>
      <c r="AD189" s="18">
        <v>3.5317925814848002E-2</v>
      </c>
      <c r="AE189" s="18">
        <v>79.856622152707899</v>
      </c>
      <c r="AF189" s="18">
        <v>1.91702900293875</v>
      </c>
      <c r="AG189" s="18">
        <v>30.024709562066899</v>
      </c>
      <c r="AH189" s="18">
        <v>0.73039559208643701</v>
      </c>
      <c r="AI189" s="18">
        <v>14.6408318172852</v>
      </c>
      <c r="AJ189" s="18">
        <v>0.68138808271456097</v>
      </c>
      <c r="AL189" s="18">
        <v>2.5491170646825798E-2</v>
      </c>
      <c r="AM189" s="18">
        <v>0.29989563300733602</v>
      </c>
    </row>
    <row r="190" spans="1:39" x14ac:dyDescent="0.2">
      <c r="A190" s="18" t="s">
        <v>466</v>
      </c>
      <c r="B190" s="18">
        <v>0.17828027232045299</v>
      </c>
      <c r="C190" s="18">
        <v>2.0759189261626699E-3</v>
      </c>
      <c r="D190" s="18">
        <v>8.2994723005233393E-3</v>
      </c>
      <c r="E190" s="18">
        <v>1057.20777191969</v>
      </c>
      <c r="F190" s="18">
        <v>11.354636196475299</v>
      </c>
      <c r="G190" s="18">
        <v>45.395553461890003</v>
      </c>
      <c r="H190" s="18">
        <v>1.8877521445624099</v>
      </c>
      <c r="I190" s="18">
        <v>5.8984128794810499E-2</v>
      </c>
      <c r="J190" s="18">
        <v>0.129036629695435</v>
      </c>
      <c r="K190" s="18">
        <v>1071.4879348362299</v>
      </c>
      <c r="L190" s="18">
        <v>21.297849581349102</v>
      </c>
      <c r="M190" s="18">
        <v>46.592240758490497</v>
      </c>
      <c r="N190" s="18">
        <v>5.4864472987796897E-2</v>
      </c>
      <c r="O190" s="18">
        <v>2.65508810875726E-3</v>
      </c>
      <c r="P190" s="18">
        <v>3.2551132843830601E-3</v>
      </c>
      <c r="Q190" s="18">
        <v>1077.2422060952599</v>
      </c>
      <c r="R190" s="18">
        <v>50.914897647903601</v>
      </c>
      <c r="S190" s="18">
        <v>62.421190151865801</v>
      </c>
      <c r="T190" s="18">
        <v>7.64829530349172E-2</v>
      </c>
      <c r="U190" s="18">
        <v>2.3446738100079199E-3</v>
      </c>
      <c r="V190" s="18">
        <v>3.8870093388235398E-3</v>
      </c>
      <c r="W190" s="18">
        <v>1086.2043490685101</v>
      </c>
      <c r="X190" s="18">
        <v>59.8492203066683</v>
      </c>
      <c r="Y190" s="18">
        <v>99.218269620430306</v>
      </c>
      <c r="Z190" s="18">
        <v>5.6170185480520303</v>
      </c>
      <c r="AA190" s="18">
        <v>6.5912328161660094E-2</v>
      </c>
      <c r="AB190" s="18">
        <v>0.26351585071383299</v>
      </c>
      <c r="AC190" s="18">
        <v>2.6745652408269698</v>
      </c>
      <c r="AD190" s="18">
        <v>3.53127085336645E-2</v>
      </c>
      <c r="AE190" s="18">
        <v>80.148556484825406</v>
      </c>
      <c r="AF190" s="18">
        <v>1.70368627083588</v>
      </c>
      <c r="AG190" s="18">
        <v>30.057015784913698</v>
      </c>
      <c r="AH190" s="18">
        <v>0.62234075682569501</v>
      </c>
      <c r="AI190" s="18">
        <v>15.3366239972259</v>
      </c>
      <c r="AJ190" s="18">
        <v>0.78942758186311701</v>
      </c>
      <c r="AL190" s="18">
        <v>0.24192377967864201</v>
      </c>
      <c r="AM190" s="18">
        <v>0.13783773320481099</v>
      </c>
    </row>
    <row r="191" spans="1:39" x14ac:dyDescent="0.2">
      <c r="A191" s="18" t="s">
        <v>467</v>
      </c>
      <c r="B191" s="18">
        <v>0.17904272756119599</v>
      </c>
      <c r="C191" s="18">
        <v>1.79337189360211E-3</v>
      </c>
      <c r="D191" s="18">
        <v>8.2677687569613304E-3</v>
      </c>
      <c r="E191" s="18">
        <v>1061.4724675162399</v>
      </c>
      <c r="F191" s="18">
        <v>9.8077333633017005</v>
      </c>
      <c r="G191" s="18">
        <v>45.215424512337002</v>
      </c>
      <c r="H191" s="18">
        <v>1.7901299307677201</v>
      </c>
      <c r="I191" s="18">
        <v>6.1581607537866401E-2</v>
      </c>
      <c r="J191" s="18">
        <v>0.12504025003217401</v>
      </c>
      <c r="K191" s="18">
        <v>1035.4881076532899</v>
      </c>
      <c r="L191" s="18">
        <v>22.384476953910202</v>
      </c>
      <c r="M191" s="18">
        <v>45.451242782762598</v>
      </c>
      <c r="N191" s="18">
        <v>5.2380943350971002E-2</v>
      </c>
      <c r="O191" s="18">
        <v>2.7189678511103901E-3</v>
      </c>
      <c r="P191" s="18">
        <v>3.25964516581859E-3</v>
      </c>
      <c r="Q191" s="18">
        <v>1029.4998789777601</v>
      </c>
      <c r="R191" s="18">
        <v>52.116892459530099</v>
      </c>
      <c r="S191" s="18">
        <v>62.480538890453197</v>
      </c>
      <c r="T191" s="18">
        <v>7.2358273395544098E-2</v>
      </c>
      <c r="U191" s="18">
        <v>2.4937234759003601E-3</v>
      </c>
      <c r="V191" s="18">
        <v>3.84972865824018E-3</v>
      </c>
      <c r="W191" s="18">
        <v>961.57031488847599</v>
      </c>
      <c r="X191" s="18">
        <v>72.2964078690934</v>
      </c>
      <c r="Y191" s="18">
        <v>111.60882750281</v>
      </c>
      <c r="Z191" s="18">
        <v>5.5701425408533796</v>
      </c>
      <c r="AA191" s="18">
        <v>5.6257519401856797E-2</v>
      </c>
      <c r="AB191" s="18">
        <v>0.25935733849412801</v>
      </c>
      <c r="AC191" s="18">
        <v>2.6600547297765198</v>
      </c>
      <c r="AD191" s="18">
        <v>3.5052500608185301E-2</v>
      </c>
      <c r="AE191" s="18">
        <v>79.586667565817706</v>
      </c>
      <c r="AF191" s="18">
        <v>1.51163421914753</v>
      </c>
      <c r="AG191" s="18">
        <v>29.935025323171001</v>
      </c>
      <c r="AH191" s="18">
        <v>0.58980259131545199</v>
      </c>
      <c r="AI191" s="18">
        <v>14.767769600713899</v>
      </c>
      <c r="AJ191" s="18">
        <v>0.80795792871556305</v>
      </c>
      <c r="AL191" s="18">
        <v>7.4476023122377194E-2</v>
      </c>
      <c r="AM191" s="18">
        <v>0.23485140720236</v>
      </c>
    </row>
    <row r="192" spans="1:39" x14ac:dyDescent="0.2">
      <c r="A192" s="18" t="s">
        <v>468</v>
      </c>
      <c r="B192" s="18">
        <v>0.17948336286242</v>
      </c>
      <c r="C192" s="18">
        <v>2.3532312036411598E-3</v>
      </c>
      <c r="D192" s="18">
        <v>8.4259974246612898E-3</v>
      </c>
      <c r="E192" s="18">
        <v>1063.6836982858699</v>
      </c>
      <c r="F192" s="18">
        <v>12.853142399110199</v>
      </c>
      <c r="G192" s="18">
        <v>46.022058770142799</v>
      </c>
      <c r="H192" s="18">
        <v>1.88724635760944</v>
      </c>
      <c r="I192" s="18">
        <v>6.2529316957990203E-2</v>
      </c>
      <c r="J192" s="18">
        <v>0.13066220856826899</v>
      </c>
      <c r="K192" s="18">
        <v>1067.7723514970401</v>
      </c>
      <c r="L192" s="18">
        <v>22.312893707995698</v>
      </c>
      <c r="M192" s="18">
        <v>46.6253609230126</v>
      </c>
      <c r="N192" s="18">
        <v>5.3522727497742797E-2</v>
      </c>
      <c r="O192" s="18">
        <v>2.48164400496315E-3</v>
      </c>
      <c r="P192" s="18">
        <v>3.0876424772477398E-3</v>
      </c>
      <c r="Q192" s="18">
        <v>1051.8128004233699</v>
      </c>
      <c r="R192" s="18">
        <v>47.552420211128798</v>
      </c>
      <c r="S192" s="18">
        <v>59.164357275327802</v>
      </c>
      <c r="T192" s="18">
        <v>7.6706674213354004E-2</v>
      </c>
      <c r="U192" s="18">
        <v>2.6498389720299E-3</v>
      </c>
      <c r="V192" s="18">
        <v>4.0851266235296304E-3</v>
      </c>
      <c r="W192" s="18">
        <v>1061.5927883965101</v>
      </c>
      <c r="X192" s="18">
        <v>71.506367563916299</v>
      </c>
      <c r="Y192" s="18">
        <v>110.237855571834</v>
      </c>
      <c r="Z192" s="18">
        <v>5.58587898139199</v>
      </c>
      <c r="AA192" s="18">
        <v>7.3815108676695204E-2</v>
      </c>
      <c r="AB192" s="18">
        <v>0.26430293574577701</v>
      </c>
      <c r="AC192" s="18">
        <v>2.6726278931191301</v>
      </c>
      <c r="AD192" s="18">
        <v>3.3282904423367003E-2</v>
      </c>
      <c r="AE192" s="18">
        <v>80.780544591345802</v>
      </c>
      <c r="AF192" s="18">
        <v>1.9696138274187001</v>
      </c>
      <c r="AG192" s="18">
        <v>30.101626685046501</v>
      </c>
      <c r="AH192" s="18">
        <v>0.69533621211780705</v>
      </c>
      <c r="AI192" s="18">
        <v>15.2438307012496</v>
      </c>
      <c r="AJ192" s="18">
        <v>0.78909309301455199</v>
      </c>
      <c r="AL192" s="18">
        <v>7.1057201984810595E-2</v>
      </c>
      <c r="AM192" s="18">
        <v>0.29465597079675399</v>
      </c>
    </row>
    <row r="193" spans="1:39" x14ac:dyDescent="0.2">
      <c r="A193" s="18" t="s">
        <v>469</v>
      </c>
      <c r="B193" s="18">
        <v>0.17921645014731299</v>
      </c>
      <c r="C193" s="18">
        <v>2.1795053221747001E-3</v>
      </c>
      <c r="D193" s="18">
        <v>8.3671877593340192E-3</v>
      </c>
      <c r="E193" s="18">
        <v>1062.2912468039799</v>
      </c>
      <c r="F193" s="18">
        <v>11.9036698204934</v>
      </c>
      <c r="G193" s="18">
        <v>45.698553428539</v>
      </c>
      <c r="H193" s="18">
        <v>1.87110753467681</v>
      </c>
      <c r="I193" s="18">
        <v>6.2285269223575197E-2</v>
      </c>
      <c r="J193" s="18">
        <v>0.129684068190424</v>
      </c>
      <c r="K193" s="18">
        <v>1062.2483819113099</v>
      </c>
      <c r="L193" s="18">
        <v>21.9778105672106</v>
      </c>
      <c r="M193" s="18">
        <v>45.759967321383201</v>
      </c>
      <c r="N193" s="18">
        <v>5.2811613499990202E-2</v>
      </c>
      <c r="O193" s="18">
        <v>2.7809846938314201E-3</v>
      </c>
      <c r="P193" s="18">
        <v>3.31958482280685E-3</v>
      </c>
      <c r="Q193" s="18">
        <v>1037.6452597694999</v>
      </c>
      <c r="R193" s="18">
        <v>53.228736767423001</v>
      </c>
      <c r="S193" s="18">
        <v>63.537676817227897</v>
      </c>
      <c r="T193" s="18">
        <v>7.5600414741567298E-2</v>
      </c>
      <c r="U193" s="18">
        <v>2.66002768180987E-3</v>
      </c>
      <c r="V193" s="18">
        <v>4.0576997470156296E-3</v>
      </c>
      <c r="W193" s="18">
        <v>1041.2879387907799</v>
      </c>
      <c r="X193" s="18">
        <v>71.013581155575807</v>
      </c>
      <c r="Y193" s="18">
        <v>108.326613388323</v>
      </c>
      <c r="Z193" s="18">
        <v>5.5865775452217203</v>
      </c>
      <c r="AA193" s="18">
        <v>6.7827525774772093E-2</v>
      </c>
      <c r="AB193" s="18">
        <v>0.26039195116179398</v>
      </c>
      <c r="AC193" s="18">
        <v>2.6528392189270802</v>
      </c>
      <c r="AD193" s="18">
        <v>3.8573202898191099E-2</v>
      </c>
      <c r="AE193" s="18">
        <v>79.232996888230005</v>
      </c>
      <c r="AF193" s="18">
        <v>1.4434745280928301</v>
      </c>
      <c r="AG193" s="18">
        <v>29.969038207261001</v>
      </c>
      <c r="AH193" s="18">
        <v>0.57973233656102996</v>
      </c>
      <c r="AI193" s="18">
        <v>14.809988552420499</v>
      </c>
      <c r="AJ193" s="18">
        <v>0.79301610773204401</v>
      </c>
      <c r="AL193" s="18">
        <v>1.3492805520923599E-2</v>
      </c>
      <c r="AM193" s="18">
        <v>0.36301552951204802</v>
      </c>
    </row>
    <row r="194" spans="1:39" x14ac:dyDescent="0.2">
      <c r="A194" s="18" t="s">
        <v>470</v>
      </c>
      <c r="B194" s="18">
        <v>0.178808774502316</v>
      </c>
      <c r="C194" s="18">
        <v>2.0432506534886299E-3</v>
      </c>
      <c r="D194" s="18">
        <v>8.3153732660577705E-3</v>
      </c>
      <c r="E194" s="18">
        <v>1060.11035371805</v>
      </c>
      <c r="F194" s="18">
        <v>11.169127890137201</v>
      </c>
      <c r="G194" s="18">
        <v>45.454759700799499</v>
      </c>
      <c r="H194" s="18">
        <v>1.83415720549858</v>
      </c>
      <c r="I194" s="18">
        <v>5.74941157210219E-2</v>
      </c>
      <c r="J194" s="18">
        <v>0.12545228115811599</v>
      </c>
      <c r="K194" s="18">
        <v>1052.57332820382</v>
      </c>
      <c r="L194" s="18">
        <v>21.327741971513401</v>
      </c>
      <c r="M194" s="18">
        <v>46.537177739386401</v>
      </c>
      <c r="N194" s="18">
        <v>5.2336235701139898E-2</v>
      </c>
      <c r="O194" s="18">
        <v>2.5538635785262E-3</v>
      </c>
      <c r="P194" s="18">
        <v>3.1223591025984401E-3</v>
      </c>
      <c r="Q194" s="18">
        <v>1028.90679312364</v>
      </c>
      <c r="R194" s="18">
        <v>49.064990932646602</v>
      </c>
      <c r="S194" s="18">
        <v>59.986963417156502</v>
      </c>
      <c r="T194" s="18">
        <v>7.4447375380141304E-2</v>
      </c>
      <c r="U194" s="18">
        <v>2.35781695422305E-3</v>
      </c>
      <c r="V194" s="18">
        <v>3.8294454178713399E-3</v>
      </c>
      <c r="W194" s="18">
        <v>1028.8661388599201</v>
      </c>
      <c r="X194" s="18">
        <v>65.493075676988695</v>
      </c>
      <c r="Y194" s="18">
        <v>106.370495853945</v>
      </c>
      <c r="Z194" s="18">
        <v>5.5959586766106399</v>
      </c>
      <c r="AA194" s="18">
        <v>6.4362835869245197E-2</v>
      </c>
      <c r="AB194" s="18">
        <v>0.26193604969658901</v>
      </c>
      <c r="AC194" s="18">
        <v>2.6778782553377201</v>
      </c>
      <c r="AD194" s="18">
        <v>3.4040272578733398E-2</v>
      </c>
      <c r="AE194" s="18">
        <v>81.237403541356997</v>
      </c>
      <c r="AF194" s="18">
        <v>2.0807627943252101</v>
      </c>
      <c r="AG194" s="18">
        <v>30.050446570546701</v>
      </c>
      <c r="AH194" s="18">
        <v>0.78441271523503597</v>
      </c>
      <c r="AI194" s="18">
        <v>14.850698924646199</v>
      </c>
      <c r="AJ194" s="18">
        <v>0.76289783962772295</v>
      </c>
      <c r="AL194" s="18">
        <v>9.27142771881342E-2</v>
      </c>
      <c r="AM194" s="18">
        <v>0.27467349862444301</v>
      </c>
    </row>
    <row r="195" spans="1:39" x14ac:dyDescent="0.2">
      <c r="A195" s="18" t="s">
        <v>471</v>
      </c>
      <c r="B195" s="18">
        <v>0.179413877215228</v>
      </c>
      <c r="C195" s="18">
        <v>1.9724403719781499E-3</v>
      </c>
      <c r="D195" s="18">
        <v>8.3246065064055998E-3</v>
      </c>
      <c r="E195" s="18">
        <v>1063.4426251048401</v>
      </c>
      <c r="F195" s="18">
        <v>10.7850309798112</v>
      </c>
      <c r="G195" s="18">
        <v>45.517796300367401</v>
      </c>
      <c r="H195" s="18">
        <v>1.8327713643635599</v>
      </c>
      <c r="I195" s="18">
        <v>5.9300230268903902E-2</v>
      </c>
      <c r="J195" s="18">
        <v>0.12622210894038799</v>
      </c>
      <c r="K195" s="18">
        <v>1049.1831017018401</v>
      </c>
      <c r="L195" s="18">
        <v>21.233339244436301</v>
      </c>
      <c r="M195" s="18">
        <v>45.195724318879499</v>
      </c>
      <c r="N195" s="18">
        <v>5.3142041421015897E-2</v>
      </c>
      <c r="O195" s="18">
        <v>2.86035732984597E-3</v>
      </c>
      <c r="P195" s="18">
        <v>3.3924428477597099E-3</v>
      </c>
      <c r="Q195" s="18">
        <v>1043.8408482319701</v>
      </c>
      <c r="R195" s="18">
        <v>54.734660386486802</v>
      </c>
      <c r="S195" s="18">
        <v>64.916437262994904</v>
      </c>
      <c r="T195" s="18">
        <v>7.3936781904387697E-2</v>
      </c>
      <c r="U195" s="18">
        <v>2.45766308684025E-3</v>
      </c>
      <c r="V195" s="18">
        <v>3.8757659144800002E-3</v>
      </c>
      <c r="W195" s="18">
        <v>1011.29548095387</v>
      </c>
      <c r="X195" s="18">
        <v>66.335354540184795</v>
      </c>
      <c r="Y195" s="18">
        <v>104.611696952466</v>
      </c>
      <c r="Z195" s="18">
        <v>5.5694536200559002</v>
      </c>
      <c r="AA195" s="18">
        <v>6.4026261914723007E-2</v>
      </c>
      <c r="AB195" s="18">
        <v>0.27022030378621598</v>
      </c>
      <c r="AC195" s="18">
        <v>2.6575698433877899</v>
      </c>
      <c r="AD195" s="18">
        <v>3.9007609428888999E-2</v>
      </c>
      <c r="AE195" s="18">
        <v>79.925823060557505</v>
      </c>
      <c r="AF195" s="18">
        <v>1.50890131029218</v>
      </c>
      <c r="AG195" s="18">
        <v>29.889605939427501</v>
      </c>
      <c r="AH195" s="18">
        <v>0.64511960437304405</v>
      </c>
      <c r="AI195" s="18">
        <v>14.6781569930807</v>
      </c>
      <c r="AJ195" s="18">
        <v>0.74493836231024302</v>
      </c>
      <c r="AL195" s="18">
        <v>3.7582146685611502E-2</v>
      </c>
      <c r="AM195" s="18">
        <v>0.33268597365242802</v>
      </c>
    </row>
    <row r="196" spans="1:39" x14ac:dyDescent="0.2">
      <c r="A196" s="18" t="s">
        <v>472</v>
      </c>
      <c r="B196" s="18">
        <v>0.17901170652993001</v>
      </c>
      <c r="C196" s="18">
        <v>2.2994302488873802E-3</v>
      </c>
      <c r="D196" s="18">
        <v>8.3904362031786504E-3</v>
      </c>
      <c r="E196" s="18">
        <v>1061.12711563936</v>
      </c>
      <c r="F196" s="18">
        <v>12.544499508395299</v>
      </c>
      <c r="G196" s="18">
        <v>45.773870669452101</v>
      </c>
      <c r="H196" s="18">
        <v>1.8857253233082001</v>
      </c>
      <c r="I196" s="18">
        <v>6.4998143271106298E-2</v>
      </c>
      <c r="J196" s="18">
        <v>0.13179193162373001</v>
      </c>
      <c r="K196" s="18">
        <v>1066.4930615298799</v>
      </c>
      <c r="L196" s="18">
        <v>23.262623331991801</v>
      </c>
      <c r="M196" s="18">
        <v>47.167902177927402</v>
      </c>
      <c r="N196" s="18">
        <v>5.7764751946598497E-2</v>
      </c>
      <c r="O196" s="18">
        <v>2.8953772857973799E-3</v>
      </c>
      <c r="P196" s="18">
        <v>3.5091343894615001E-3</v>
      </c>
      <c r="Q196" s="18">
        <v>1132.32506340905</v>
      </c>
      <c r="R196" s="18">
        <v>55.158124402616103</v>
      </c>
      <c r="S196" s="18">
        <v>66.850448868569501</v>
      </c>
      <c r="T196" s="18">
        <v>7.6667724545579893E-2</v>
      </c>
      <c r="U196" s="18">
        <v>2.6996847550218401E-3</v>
      </c>
      <c r="V196" s="18">
        <v>4.11660260390047E-3</v>
      </c>
      <c r="W196" s="18">
        <v>1048.85281172807</v>
      </c>
      <c r="X196" s="18">
        <v>75.109339155858905</v>
      </c>
      <c r="Y196" s="18">
        <v>114.530150444825</v>
      </c>
      <c r="Z196" s="18">
        <v>5.59816146766339</v>
      </c>
      <c r="AA196" s="18">
        <v>7.0757279920021995E-2</v>
      </c>
      <c r="AB196" s="18">
        <v>0.25818762859480698</v>
      </c>
      <c r="AC196" s="18">
        <v>2.6718787592293598</v>
      </c>
      <c r="AD196" s="18">
        <v>3.4365050386722398E-2</v>
      </c>
      <c r="AE196" s="18">
        <v>81.000163473185196</v>
      </c>
      <c r="AF196" s="18">
        <v>2.1097994331563599</v>
      </c>
      <c r="AG196" s="18">
        <v>30.1802799305744</v>
      </c>
      <c r="AH196" s="18">
        <v>0.74772377032791204</v>
      </c>
      <c r="AI196" s="18">
        <v>16.2226829253141</v>
      </c>
      <c r="AJ196" s="18">
        <v>0.77155860158225098</v>
      </c>
      <c r="AL196" s="18">
        <v>0.15924705563505701</v>
      </c>
      <c r="AM196" s="18">
        <v>0.20612115908322501</v>
      </c>
    </row>
    <row r="197" spans="1:39" x14ac:dyDescent="0.2">
      <c r="A197" s="18" t="s">
        <v>473</v>
      </c>
      <c r="B197" s="18">
        <v>0.18212275022826799</v>
      </c>
      <c r="C197" s="18">
        <v>2.31764007988477E-3</v>
      </c>
      <c r="D197" s="18">
        <v>8.5308209961257406E-3</v>
      </c>
      <c r="E197" s="18">
        <v>1078.11201501457</v>
      </c>
      <c r="F197" s="18">
        <v>12.635392969521099</v>
      </c>
      <c r="G197" s="18">
        <v>46.508634612519003</v>
      </c>
      <c r="H197" s="18">
        <v>1.85408877661226</v>
      </c>
      <c r="I197" s="18">
        <v>7.0973491176350406E-2</v>
      </c>
      <c r="J197" s="18">
        <v>0.13320996611990099</v>
      </c>
      <c r="K197" s="18">
        <v>1057.1680351852301</v>
      </c>
      <c r="L197" s="18">
        <v>24.499174667242901</v>
      </c>
      <c r="M197" s="18">
        <v>45.982438982463698</v>
      </c>
      <c r="N197" s="18">
        <v>5.3910488847822097E-2</v>
      </c>
      <c r="O197" s="18">
        <v>2.6815388660936701E-3</v>
      </c>
      <c r="P197" s="18">
        <v>3.2580095440113001E-3</v>
      </c>
      <c r="Q197" s="18">
        <v>1058.92403503732</v>
      </c>
      <c r="R197" s="18">
        <v>51.4050412823348</v>
      </c>
      <c r="S197" s="18">
        <v>62.455971541488601</v>
      </c>
      <c r="T197" s="18">
        <v>7.3797135990909493E-2</v>
      </c>
      <c r="U197" s="18">
        <v>2.81247760885062E-3</v>
      </c>
      <c r="V197" s="18">
        <v>4.10579772476474E-3</v>
      </c>
      <c r="W197" s="18">
        <v>986.22947249177105</v>
      </c>
      <c r="X197" s="18">
        <v>76.811382730080396</v>
      </c>
      <c r="Y197" s="18">
        <v>112.133159551831</v>
      </c>
      <c r="Z197" s="18">
        <v>5.4768196688597897</v>
      </c>
      <c r="AA197" s="18">
        <v>7.1523807925350694E-2</v>
      </c>
      <c r="AB197" s="18">
        <v>0.26326641814150198</v>
      </c>
      <c r="AC197" s="18">
        <v>2.7125006967879202</v>
      </c>
      <c r="AD197" s="18">
        <v>3.9792864933222198E-2</v>
      </c>
      <c r="AE197" s="18">
        <v>75.891364941945398</v>
      </c>
      <c r="AF197" s="18">
        <v>2.06865537019093</v>
      </c>
      <c r="AG197" s="18">
        <v>28.8787456679825</v>
      </c>
      <c r="AH197" s="18">
        <v>0.88076758064041305</v>
      </c>
      <c r="AI197" s="18">
        <v>13.914035208592701</v>
      </c>
      <c r="AJ197" s="18">
        <v>0.72975435453980397</v>
      </c>
      <c r="AL197" s="18">
        <v>0.19375886361548</v>
      </c>
      <c r="AM197" s="18">
        <v>0.211463030227553</v>
      </c>
    </row>
    <row r="198" spans="1:39" x14ac:dyDescent="0.2">
      <c r="A198" s="18" t="s">
        <v>474</v>
      </c>
      <c r="B198" s="18">
        <v>0.17843614176675601</v>
      </c>
      <c r="C198" s="18">
        <v>1.8774984066858801E-3</v>
      </c>
      <c r="D198" s="18">
        <v>8.2599036035199101E-3</v>
      </c>
      <c r="E198" s="18">
        <v>1058.12723306416</v>
      </c>
      <c r="F198" s="18">
        <v>10.2621707151522</v>
      </c>
      <c r="G198" s="18">
        <v>45.147596700040097</v>
      </c>
      <c r="H198" s="18">
        <v>1.84202238326416</v>
      </c>
      <c r="I198" s="18">
        <v>6.3009203385406207E-2</v>
      </c>
      <c r="J198" s="18">
        <v>0.12849746439392601</v>
      </c>
      <c r="K198" s="18">
        <v>1051.3856974444</v>
      </c>
      <c r="L198" s="18">
        <v>22.725438177880001</v>
      </c>
      <c r="M198" s="18">
        <v>46.344994480200803</v>
      </c>
      <c r="N198" s="18">
        <v>5.2732107231382302E-2</v>
      </c>
      <c r="O198" s="18">
        <v>2.7930978122668302E-3</v>
      </c>
      <c r="P198" s="18">
        <v>3.3282542780703598E-3</v>
      </c>
      <c r="Q198" s="18">
        <v>1036.09264534618</v>
      </c>
      <c r="R198" s="18">
        <v>53.5147055486011</v>
      </c>
      <c r="S198" s="18">
        <v>63.768102534603301</v>
      </c>
      <c r="T198" s="18">
        <v>7.4836551765777901E-2</v>
      </c>
      <c r="U198" s="18">
        <v>2.6108737224236601E-3</v>
      </c>
      <c r="V198" s="18">
        <v>4.0023593217723098E-3</v>
      </c>
      <c r="W198" s="18">
        <v>1009.46032534822</v>
      </c>
      <c r="X198" s="18">
        <v>73.724521337293794</v>
      </c>
      <c r="Y198" s="18">
        <v>113.01658241196201</v>
      </c>
      <c r="Z198" s="18">
        <v>5.6009786886133703</v>
      </c>
      <c r="AA198" s="18">
        <v>5.6903579438610401E-2</v>
      </c>
      <c r="AB198" s="18">
        <v>0.25034273221452502</v>
      </c>
      <c r="AC198" s="18">
        <v>2.62594180470589</v>
      </c>
      <c r="AD198" s="18">
        <v>3.5525808593706999E-2</v>
      </c>
      <c r="AE198" s="18">
        <v>81.080545906798704</v>
      </c>
      <c r="AF198" s="18">
        <v>1.68382020807393</v>
      </c>
      <c r="AG198" s="18">
        <v>31.031617538900701</v>
      </c>
      <c r="AH198" s="18">
        <v>0.78702875901081304</v>
      </c>
      <c r="AI198" s="18">
        <v>15.259133087118901</v>
      </c>
      <c r="AJ198" s="18">
        <v>0.81342382168808103</v>
      </c>
      <c r="AL198" s="18">
        <v>8.2016767220989897E-2</v>
      </c>
      <c r="AM198" s="18">
        <v>0.235816939355115</v>
      </c>
    </row>
    <row r="199" spans="1:39" x14ac:dyDescent="0.2">
      <c r="A199" s="18" t="s">
        <v>475</v>
      </c>
      <c r="B199" s="18">
        <v>0.177839100285938</v>
      </c>
      <c r="C199" s="18">
        <v>2.0529305801395702E-3</v>
      </c>
      <c r="D199" s="18">
        <v>8.27508261791721E-3</v>
      </c>
      <c r="E199" s="18">
        <v>1054.8036102997401</v>
      </c>
      <c r="F199" s="18">
        <v>11.2384904866433</v>
      </c>
      <c r="G199" s="18">
        <v>45.300819315248098</v>
      </c>
      <c r="H199" s="18">
        <v>1.8456638891177499</v>
      </c>
      <c r="I199" s="18">
        <v>6.2848173378124997E-2</v>
      </c>
      <c r="J199" s="18">
        <v>0.12860143835087801</v>
      </c>
      <c r="K199" s="18">
        <v>1052.64943417683</v>
      </c>
      <c r="L199" s="18">
        <v>22.948226341551401</v>
      </c>
      <c r="M199" s="18">
        <v>46.9572106315537</v>
      </c>
      <c r="N199" s="18">
        <v>5.2644657804967403E-2</v>
      </c>
      <c r="O199" s="18">
        <v>2.6519505406504399E-3</v>
      </c>
      <c r="P199" s="18">
        <v>3.20903601536972E-3</v>
      </c>
      <c r="Q199" s="18">
        <v>1034.6844088956</v>
      </c>
      <c r="R199" s="18">
        <v>50.814257683830597</v>
      </c>
      <c r="S199" s="18">
        <v>61.488621489032298</v>
      </c>
      <c r="T199" s="18">
        <v>7.5444922448889007E-2</v>
      </c>
      <c r="U199" s="18">
        <v>2.6185941717029801E-3</v>
      </c>
      <c r="V199" s="18">
        <v>4.0260283277471299E-3</v>
      </c>
      <c r="W199" s="18">
        <v>1036.7869965182599</v>
      </c>
      <c r="X199" s="18">
        <v>70.975731969498398</v>
      </c>
      <c r="Y199" s="18">
        <v>109.123555906318</v>
      </c>
      <c r="Z199" s="18">
        <v>5.6334317375765703</v>
      </c>
      <c r="AA199" s="18">
        <v>6.5967854820405999E-2</v>
      </c>
      <c r="AB199" s="18">
        <v>0.265907407706165</v>
      </c>
      <c r="AC199" s="18">
        <v>2.6733746329442498</v>
      </c>
      <c r="AD199" s="18">
        <v>3.6458712021794598E-2</v>
      </c>
      <c r="AE199" s="18">
        <v>81.147961208478094</v>
      </c>
      <c r="AF199" s="18">
        <v>1.6080903485659901</v>
      </c>
      <c r="AG199" s="18">
        <v>29.852417797893601</v>
      </c>
      <c r="AH199" s="18">
        <v>0.61620695326072195</v>
      </c>
      <c r="AI199" s="18">
        <v>15.4824027894814</v>
      </c>
      <c r="AJ199" s="18">
        <v>0.78910781126548302</v>
      </c>
      <c r="AL199" s="18">
        <v>0.139231768207523</v>
      </c>
      <c r="AM199" s="18">
        <v>0.22864502375231099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2CDC-95C4-9A40-91D2-DD435634A4B4}">
  <dimension ref="A1:X203"/>
  <sheetViews>
    <sheetView tabSelected="1" workbookViewId="0">
      <pane ySplit="1" topLeftCell="A79" activePane="bottomLeft" state="frozen"/>
      <selection pane="bottomLeft" activeCell="C95" sqref="C95"/>
    </sheetView>
  </sheetViews>
  <sheetFormatPr baseColWidth="10" defaultColWidth="9.1640625" defaultRowHeight="15" x14ac:dyDescent="0.2"/>
  <cols>
    <col min="1" max="1" width="9.1640625" style="11"/>
    <col min="2" max="3" width="20.5" style="11" customWidth="1"/>
    <col min="4" max="4" width="20.5" style="12" bestFit="1" customWidth="1"/>
    <col min="5" max="5" width="22.1640625" style="12" bestFit="1" customWidth="1"/>
    <col min="6" max="6" width="20.5" style="12" bestFit="1" customWidth="1"/>
    <col min="7" max="7" width="22.1640625" style="12" bestFit="1" customWidth="1"/>
    <col min="8" max="8" width="26" style="12" bestFit="1" customWidth="1"/>
    <col min="9" max="9" width="13" style="1" hidden="1" customWidth="1"/>
    <col min="10" max="10" width="12.33203125" style="3" bestFit="1" customWidth="1"/>
    <col min="11" max="11" width="12.33203125" style="3" customWidth="1"/>
    <col min="12" max="12" width="21.5" style="11" bestFit="1" customWidth="1"/>
    <col min="13" max="13" width="23" style="11" bestFit="1" customWidth="1"/>
    <col min="14" max="14" width="20.5" style="11" bestFit="1" customWidth="1"/>
    <col min="15" max="15" width="22.1640625" style="11" bestFit="1" customWidth="1"/>
    <col min="16" max="16" width="14.1640625" style="11" bestFit="1" customWidth="1"/>
    <col min="17" max="17" width="15.6640625" style="11" bestFit="1" customWidth="1"/>
    <col min="18" max="18" width="27" style="11" bestFit="1" customWidth="1"/>
    <col min="19" max="19" width="23.6640625" style="12" bestFit="1" customWidth="1"/>
    <col min="20" max="20" width="25.1640625" style="11" bestFit="1" customWidth="1"/>
    <col min="21" max="21" width="24.5" style="12" bestFit="1" customWidth="1"/>
    <col min="22" max="22" width="26" style="11" bestFit="1" customWidth="1"/>
    <col min="23" max="23" width="22" style="28" bestFit="1" customWidth="1"/>
    <col min="24" max="24" width="8.83203125" style="23" customWidth="1"/>
    <col min="25" max="16384" width="9.1640625" style="11"/>
  </cols>
  <sheetData>
    <row r="1" spans="1:24" s="1" customFormat="1" x14ac:dyDescent="0.2">
      <c r="A1" s="1" t="s">
        <v>203</v>
      </c>
      <c r="B1" s="1" t="s">
        <v>202</v>
      </c>
      <c r="C1" s="1" t="s">
        <v>205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1" t="s">
        <v>5</v>
      </c>
      <c r="J1" s="3" t="s">
        <v>6</v>
      </c>
      <c r="K1" s="3" t="s">
        <v>274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 t="s">
        <v>14</v>
      </c>
      <c r="T1" s="1" t="s">
        <v>15</v>
      </c>
      <c r="U1" s="2" t="s">
        <v>16</v>
      </c>
      <c r="V1" s="1" t="s">
        <v>17</v>
      </c>
      <c r="W1" s="27" t="s">
        <v>204</v>
      </c>
    </row>
    <row r="2" spans="1:24" x14ac:dyDescent="0.2">
      <c r="A2" s="1">
        <v>1</v>
      </c>
      <c r="B2" s="11" t="s">
        <v>19</v>
      </c>
      <c r="C2" s="11" t="s">
        <v>206</v>
      </c>
      <c r="D2" s="11">
        <v>2.9834373110798702</v>
      </c>
      <c r="E2" s="11">
        <v>4.8562494081687002E-2</v>
      </c>
      <c r="F2" s="11">
        <v>0.243485437736713</v>
      </c>
      <c r="G2" s="11">
        <v>4.32998193682794E-3</v>
      </c>
      <c r="H2" s="11">
        <v>0.65072289378151105</v>
      </c>
      <c r="I2" s="13">
        <f t="shared" ref="I2:I33" si="0">(S2/U2)*100</f>
        <v>99.784226300887411</v>
      </c>
      <c r="J2" s="3">
        <f t="shared" ref="J2:J33" si="1">(1-(S2/U2))*100</f>
        <v>0.21577369911258693</v>
      </c>
      <c r="K2" s="3">
        <f>J2</f>
        <v>0.21577369911258693</v>
      </c>
      <c r="L2" s="11">
        <v>8.9200707331832496E-2</v>
      </c>
      <c r="M2" s="11">
        <v>1.3667715040732E-3</v>
      </c>
      <c r="N2" s="11">
        <v>4.13155721634842</v>
      </c>
      <c r="O2" s="11">
        <v>7.3067396700156301E-2</v>
      </c>
      <c r="P2" s="11">
        <v>2.1985890551054101</v>
      </c>
      <c r="Q2" s="11">
        <v>0.241041764134793</v>
      </c>
      <c r="R2" s="11">
        <v>0.29932757496495199</v>
      </c>
      <c r="S2" s="11">
        <v>1403.94368610527</v>
      </c>
      <c r="T2" s="11">
        <v>22.405017414447901</v>
      </c>
      <c r="U2" s="11">
        <v>1406.9795779864501</v>
      </c>
      <c r="V2" s="11">
        <v>27.728348192700899</v>
      </c>
      <c r="W2" s="28">
        <v>30</v>
      </c>
    </row>
    <row r="3" spans="1:24" x14ac:dyDescent="0.2">
      <c r="A3" s="1">
        <v>1</v>
      </c>
      <c r="B3" s="11" t="s">
        <v>21</v>
      </c>
      <c r="C3" s="11" t="s">
        <v>207</v>
      </c>
      <c r="D3" s="12">
        <v>2.79263474765806</v>
      </c>
      <c r="E3" s="12">
        <v>9.7973363066954394E-2</v>
      </c>
      <c r="F3" s="12">
        <v>0.235645260088922</v>
      </c>
      <c r="G3" s="12">
        <v>3.0764425503744999E-3</v>
      </c>
      <c r="H3" s="12">
        <v>0.212541376642706</v>
      </c>
      <c r="I3" s="13">
        <f t="shared" si="0"/>
        <v>104.48977244578903</v>
      </c>
      <c r="J3" s="3">
        <f t="shared" si="1"/>
        <v>-4.4897724457890309</v>
      </c>
      <c r="K3" s="3">
        <v>0</v>
      </c>
      <c r="L3" s="11">
        <v>8.5996995973001103E-2</v>
      </c>
      <c r="M3" s="11">
        <v>2.9563972683771299E-3</v>
      </c>
      <c r="N3" s="11">
        <v>4.2557974428071796</v>
      </c>
      <c r="O3" s="11">
        <v>5.5292005485323099E-2</v>
      </c>
      <c r="P3" s="11">
        <v>2.0263937250646298</v>
      </c>
      <c r="Q3" s="11">
        <v>5.31821393276216E-2</v>
      </c>
      <c r="R3" s="11">
        <v>0.14678117609107999</v>
      </c>
      <c r="S3" s="12">
        <v>1363.57938964345</v>
      </c>
      <c r="T3" s="11">
        <v>16.027528493328401</v>
      </c>
      <c r="U3" s="12">
        <v>1304.9883808971799</v>
      </c>
      <c r="V3" s="11">
        <v>67.279094073962398</v>
      </c>
      <c r="W3" s="28">
        <v>30</v>
      </c>
    </row>
    <row r="4" spans="1:24" x14ac:dyDescent="0.2">
      <c r="A4" s="1">
        <v>1</v>
      </c>
      <c r="B4" s="11" t="s">
        <v>22</v>
      </c>
      <c r="C4" s="11" t="s">
        <v>208</v>
      </c>
      <c r="D4" s="12">
        <v>2.18145633531896</v>
      </c>
      <c r="E4" s="12">
        <v>7.0042578909324305E-2</v>
      </c>
      <c r="F4" s="12">
        <v>0.20482329057542301</v>
      </c>
      <c r="G4" s="12">
        <v>2.3102020385535301E-3</v>
      </c>
      <c r="H4" s="12">
        <v>8.6162959494279101E-2</v>
      </c>
      <c r="I4" s="13">
        <f t="shared" si="0"/>
        <v>109.05075596363223</v>
      </c>
      <c r="J4" s="3">
        <f t="shared" si="1"/>
        <v>-9.0507559636322288</v>
      </c>
      <c r="K4" s="3">
        <v>0</v>
      </c>
      <c r="L4" s="11">
        <v>7.7107837972686305E-2</v>
      </c>
      <c r="M4" s="11">
        <v>2.5904867168911501E-3</v>
      </c>
      <c r="N4" s="11">
        <v>4.8624912713851103</v>
      </c>
      <c r="O4" s="11">
        <v>5.6817350678892702E-2</v>
      </c>
      <c r="P4" s="11">
        <v>1.70786383932092</v>
      </c>
      <c r="Q4" s="11">
        <v>8.3365677759445297E-2</v>
      </c>
      <c r="R4" s="11">
        <v>0.25072397697202597</v>
      </c>
      <c r="S4" s="12">
        <v>1200.9187896966901</v>
      </c>
      <c r="T4" s="11">
        <v>12.349336320616899</v>
      </c>
      <c r="U4" s="12">
        <v>1101.24756044533</v>
      </c>
      <c r="V4" s="11">
        <v>71.088019633108999</v>
      </c>
      <c r="W4" s="28">
        <v>30</v>
      </c>
    </row>
    <row r="5" spans="1:24" x14ac:dyDescent="0.2">
      <c r="A5" s="1">
        <v>1</v>
      </c>
      <c r="B5" s="11" t="s">
        <v>23</v>
      </c>
      <c r="C5" s="11" t="s">
        <v>209</v>
      </c>
      <c r="D5" s="12">
        <v>3.0958264416629202</v>
      </c>
      <c r="E5" s="12">
        <v>6.3271327429609503E-2</v>
      </c>
      <c r="F5" s="12">
        <v>0.24854891450266001</v>
      </c>
      <c r="G5" s="12">
        <v>2.89179574443268E-3</v>
      </c>
      <c r="H5" s="12">
        <v>0.36629480276804599</v>
      </c>
      <c r="I5" s="13">
        <f t="shared" si="0"/>
        <v>100.29981801832272</v>
      </c>
      <c r="J5" s="3">
        <f t="shared" si="1"/>
        <v>-0.29981801832272836</v>
      </c>
      <c r="K5" s="3">
        <f t="shared" ref="K5:K64" si="2">J5</f>
        <v>-0.29981801832272836</v>
      </c>
      <c r="L5" s="11">
        <v>9.0306370515217199E-2</v>
      </c>
      <c r="M5" s="11">
        <v>1.86325836880619E-3</v>
      </c>
      <c r="N5" s="11">
        <v>4.0158784194929602</v>
      </c>
      <c r="O5" s="11">
        <v>5.0875535070246003E-2</v>
      </c>
      <c r="P5" s="11">
        <v>2.4982933293397598</v>
      </c>
      <c r="Q5" s="11">
        <v>6.3532100167694505E-2</v>
      </c>
      <c r="R5" s="11">
        <v>0.25828128277266799</v>
      </c>
      <c r="S5" s="12">
        <v>1430.6088339846399</v>
      </c>
      <c r="T5" s="11">
        <v>14.8968093354451</v>
      </c>
      <c r="U5" s="12">
        <v>1426.33243235127</v>
      </c>
      <c r="V5" s="11">
        <v>38.3944776021062</v>
      </c>
      <c r="W5" s="28">
        <v>30</v>
      </c>
    </row>
    <row r="6" spans="1:24" s="5" customFormat="1" x14ac:dyDescent="0.2">
      <c r="A6" s="1">
        <v>1</v>
      </c>
      <c r="B6" s="5" t="s">
        <v>25</v>
      </c>
      <c r="C6" s="5" t="s">
        <v>210</v>
      </c>
      <c r="D6" s="5">
        <v>2.8452725332764901</v>
      </c>
      <c r="E6" s="5">
        <v>5.9897857443346199E-2</v>
      </c>
      <c r="F6" s="5">
        <v>0.12857500825058099</v>
      </c>
      <c r="G6" s="5">
        <v>2.81387784035321E-3</v>
      </c>
      <c r="H6" s="5">
        <v>0.90158865085988105</v>
      </c>
      <c r="I6" s="6">
        <f t="shared" si="0"/>
        <v>31.684973825887269</v>
      </c>
      <c r="J6" s="7">
        <f t="shared" si="1"/>
        <v>68.315026174112731</v>
      </c>
      <c r="K6" s="3">
        <v>10</v>
      </c>
      <c r="L6" s="5">
        <v>0.16057963827517699</v>
      </c>
      <c r="M6" s="5">
        <v>1.34329122417188E-3</v>
      </c>
      <c r="N6" s="5">
        <v>7.8569871242217602</v>
      </c>
      <c r="O6" s="5">
        <v>0.181902151042697</v>
      </c>
      <c r="P6" s="5">
        <v>0.196143086367013</v>
      </c>
      <c r="Q6" s="5">
        <v>6.1330815214819803E-3</v>
      </c>
      <c r="R6" s="5">
        <v>0.123839046084261</v>
      </c>
      <c r="S6" s="5">
        <v>779.29383099732604</v>
      </c>
      <c r="T6" s="5">
        <v>16.112438713519602</v>
      </c>
      <c r="U6" s="5">
        <v>2459.5059957430899</v>
      </c>
      <c r="V6" s="5">
        <v>14.1514207642768</v>
      </c>
      <c r="W6" s="28">
        <v>30</v>
      </c>
      <c r="X6" s="22"/>
    </row>
    <row r="7" spans="1:24" x14ac:dyDescent="0.2">
      <c r="A7" s="1">
        <v>1</v>
      </c>
      <c r="B7" s="11" t="s">
        <v>26</v>
      </c>
      <c r="C7" s="11" t="s">
        <v>211</v>
      </c>
      <c r="D7" s="12">
        <v>5.6138858036275199</v>
      </c>
      <c r="E7" s="12">
        <v>0.184918467522691</v>
      </c>
      <c r="F7" s="12">
        <v>0.35082732451279303</v>
      </c>
      <c r="G7" s="12">
        <v>4.6589167754174004E-3</v>
      </c>
      <c r="H7" s="12">
        <v>0.20009815067103501</v>
      </c>
      <c r="I7" s="13">
        <f t="shared" si="0"/>
        <v>103.31313894336753</v>
      </c>
      <c r="J7" s="3">
        <f t="shared" si="1"/>
        <v>-3.3131389433675329</v>
      </c>
      <c r="K7" s="3">
        <v>0</v>
      </c>
      <c r="L7" s="11">
        <v>0.11593124224588</v>
      </c>
      <c r="M7" s="11">
        <v>3.8098376314810601E-3</v>
      </c>
      <c r="N7" s="11">
        <v>2.85316688407387</v>
      </c>
      <c r="O7" s="11">
        <v>4.0435869422781802E-2</v>
      </c>
      <c r="P7" s="11">
        <v>1.0705447673015001</v>
      </c>
      <c r="Q7" s="11">
        <v>3.1540212760910402E-2</v>
      </c>
      <c r="R7" s="11">
        <v>0.16826368302300301</v>
      </c>
      <c r="S7" s="12">
        <v>1937.70263859949</v>
      </c>
      <c r="T7" s="11">
        <v>22.270392157283698</v>
      </c>
      <c r="U7" s="12">
        <v>1875.56264229051</v>
      </c>
      <c r="V7" s="11">
        <v>62.346146689963497</v>
      </c>
      <c r="W7" s="28">
        <v>30</v>
      </c>
    </row>
    <row r="8" spans="1:24" x14ac:dyDescent="0.2">
      <c r="A8" s="1">
        <v>1</v>
      </c>
      <c r="B8" s="11" t="s">
        <v>27</v>
      </c>
      <c r="C8" s="11" t="s">
        <v>212</v>
      </c>
      <c r="D8" s="12">
        <v>5.2895648511486604</v>
      </c>
      <c r="E8" s="12">
        <v>0.109422768358077</v>
      </c>
      <c r="F8" s="12">
        <v>0.33380620762414198</v>
      </c>
      <c r="G8" s="12">
        <v>6.0314428622324804E-3</v>
      </c>
      <c r="H8" s="12">
        <v>0.70837282758936304</v>
      </c>
      <c r="I8" s="13">
        <f t="shared" si="0"/>
        <v>98.480956909321222</v>
      </c>
      <c r="J8" s="3">
        <f t="shared" si="1"/>
        <v>1.5190430906787733</v>
      </c>
      <c r="K8" s="3">
        <v>0</v>
      </c>
      <c r="L8" s="11">
        <v>0.115309645736886</v>
      </c>
      <c r="M8" s="11">
        <v>1.6137368673338199E-3</v>
      </c>
      <c r="N8" s="11">
        <v>3.0054691680065901</v>
      </c>
      <c r="O8" s="11">
        <v>5.5238455338609098E-2</v>
      </c>
      <c r="P8" s="11">
        <v>1.35259784660076</v>
      </c>
      <c r="Q8" s="11">
        <v>0.112971906540868</v>
      </c>
      <c r="R8" s="11">
        <v>9.5898456900973997E-2</v>
      </c>
      <c r="S8" s="12">
        <v>1855.3378976054901</v>
      </c>
      <c r="T8" s="11">
        <v>29.388895022849301</v>
      </c>
      <c r="U8" s="12">
        <v>1883.95600107119</v>
      </c>
      <c r="V8" s="11">
        <v>23.7121643609598</v>
      </c>
      <c r="W8" s="28">
        <v>30</v>
      </c>
    </row>
    <row r="9" spans="1:24" x14ac:dyDescent="0.2">
      <c r="A9" s="1">
        <v>1</v>
      </c>
      <c r="B9" s="11" t="s">
        <v>28</v>
      </c>
      <c r="C9" s="11" t="s">
        <v>213</v>
      </c>
      <c r="D9" s="12">
        <v>3.3159904463065999</v>
      </c>
      <c r="E9" s="12">
        <v>5.3614002108678602E-2</v>
      </c>
      <c r="F9" s="12">
        <v>0.26496391752445497</v>
      </c>
      <c r="G9" s="12">
        <v>2.0933099396750901E-3</v>
      </c>
      <c r="H9" s="12">
        <v>0.31976564246884698</v>
      </c>
      <c r="I9" s="13">
        <f t="shared" si="0"/>
        <v>105.42052120235297</v>
      </c>
      <c r="J9" s="3">
        <f t="shared" si="1"/>
        <v>-5.4205212023529681</v>
      </c>
      <c r="K9" s="3">
        <v>0</v>
      </c>
      <c r="L9" s="11">
        <v>9.0932349169368196E-2</v>
      </c>
      <c r="M9" s="11">
        <v>1.51504486422056E-3</v>
      </c>
      <c r="N9" s="11">
        <v>3.7760057348237099</v>
      </c>
      <c r="O9" s="11">
        <v>2.98831364245025E-2</v>
      </c>
      <c r="P9" s="11">
        <v>1.6280870109074399</v>
      </c>
      <c r="Q9" s="11">
        <v>3.47966706109296E-2</v>
      </c>
      <c r="R9" s="11">
        <v>0.165442499927762</v>
      </c>
      <c r="S9" s="12">
        <v>1514.9942367501701</v>
      </c>
      <c r="T9" s="11">
        <v>10.6671852837581</v>
      </c>
      <c r="U9" s="12">
        <v>1437.0961360000899</v>
      </c>
      <c r="V9" s="11">
        <v>31.4737617865412</v>
      </c>
      <c r="W9" s="28">
        <v>30</v>
      </c>
    </row>
    <row r="10" spans="1:24" x14ac:dyDescent="0.2">
      <c r="A10" s="1">
        <v>1</v>
      </c>
      <c r="B10" s="11" t="s">
        <v>29</v>
      </c>
      <c r="C10" s="11" t="s">
        <v>214</v>
      </c>
      <c r="D10" s="12">
        <v>5.2337726381493299</v>
      </c>
      <c r="E10" s="12">
        <v>7.4004618390012197E-2</v>
      </c>
      <c r="F10" s="12">
        <v>0.34347850579175798</v>
      </c>
      <c r="G10" s="12">
        <v>2.4729548099246702E-3</v>
      </c>
      <c r="H10" s="12">
        <v>0.45373609388861602</v>
      </c>
      <c r="I10" s="13">
        <f t="shared" si="0"/>
        <v>104.46916112448366</v>
      </c>
      <c r="J10" s="3">
        <f t="shared" si="1"/>
        <v>-4.469161124483656</v>
      </c>
      <c r="K10" s="3">
        <v>0</v>
      </c>
      <c r="L10" s="11">
        <v>0.11164989171933801</v>
      </c>
      <c r="M10" s="11">
        <v>1.3907625213795201E-3</v>
      </c>
      <c r="N10" s="11">
        <v>2.9038893103844901</v>
      </c>
      <c r="O10" s="11">
        <v>2.00895281096009E-2</v>
      </c>
      <c r="P10" s="11">
        <v>1.5782615002031899</v>
      </c>
      <c r="Q10" s="11">
        <v>1.5668467387641601E-2</v>
      </c>
      <c r="R10" s="11">
        <v>0.132302423821547</v>
      </c>
      <c r="S10" s="12">
        <v>1903.1408423927301</v>
      </c>
      <c r="T10" s="11">
        <v>11.904707651576301</v>
      </c>
      <c r="U10" s="12">
        <v>1821.72501617485</v>
      </c>
      <c r="V10" s="11">
        <v>23.1782681345612</v>
      </c>
      <c r="W10" s="28">
        <v>30</v>
      </c>
    </row>
    <row r="11" spans="1:24" s="5" customFormat="1" x14ac:dyDescent="0.2">
      <c r="A11" s="1">
        <v>1</v>
      </c>
      <c r="B11" s="5" t="s">
        <v>30</v>
      </c>
      <c r="C11" s="5" t="s">
        <v>215</v>
      </c>
      <c r="D11" s="5">
        <v>1.7734740462429599</v>
      </c>
      <c r="E11" s="5">
        <v>0.101933476481854</v>
      </c>
      <c r="F11" s="5">
        <v>0.179156441035738</v>
      </c>
      <c r="G11" s="5">
        <v>3.3106650908404402E-3</v>
      </c>
      <c r="H11" s="5">
        <v>7.9217890846976606E-3</v>
      </c>
      <c r="I11" s="6">
        <f t="shared" si="0"/>
        <v>115.82360015686204</v>
      </c>
      <c r="J11" s="7">
        <f t="shared" si="1"/>
        <v>-15.823600156862039</v>
      </c>
      <c r="K11" s="3">
        <v>-10</v>
      </c>
      <c r="L11" s="5">
        <v>7.3279970576339698E-2</v>
      </c>
      <c r="M11" s="5">
        <v>4.3279130609118503E-3</v>
      </c>
      <c r="N11" s="5">
        <v>5.6092698203258804</v>
      </c>
      <c r="O11" s="5">
        <v>0.10161219108137901</v>
      </c>
      <c r="P11" s="5">
        <v>1.6756132281114999</v>
      </c>
      <c r="Q11" s="5">
        <v>2.80986248590726E-2</v>
      </c>
      <c r="R11" s="5">
        <v>0.286651630860217</v>
      </c>
      <c r="S11" s="5">
        <v>1061.8138263113899</v>
      </c>
      <c r="T11" s="5">
        <v>18.0529426064018</v>
      </c>
      <c r="U11" s="5">
        <v>916.75083909786599</v>
      </c>
      <c r="V11" s="5">
        <v>141.489814173301</v>
      </c>
      <c r="W11" s="28">
        <v>30</v>
      </c>
      <c r="X11" s="22"/>
    </row>
    <row r="12" spans="1:24" x14ac:dyDescent="0.2">
      <c r="A12" s="1">
        <v>1</v>
      </c>
      <c r="B12" s="11" t="s">
        <v>31</v>
      </c>
      <c r="C12" s="11" t="s">
        <v>216</v>
      </c>
      <c r="D12" s="12">
        <v>2.89941841340422</v>
      </c>
      <c r="E12" s="12">
        <v>7.9044066677375902E-2</v>
      </c>
      <c r="F12" s="12">
        <v>0.24065201162223901</v>
      </c>
      <c r="G12" s="12">
        <v>2.3511520719294902E-3</v>
      </c>
      <c r="H12" s="12">
        <v>0.21014986307696301</v>
      </c>
      <c r="I12" s="13">
        <f t="shared" si="0"/>
        <v>99.72776183971412</v>
      </c>
      <c r="J12" s="3">
        <f t="shared" si="1"/>
        <v>0.27223816028588699</v>
      </c>
      <c r="K12" s="3">
        <f t="shared" si="2"/>
        <v>0.27223816028588699</v>
      </c>
      <c r="L12" s="11">
        <v>8.9428431700619399E-2</v>
      </c>
      <c r="M12" s="11">
        <v>2.38677434340266E-3</v>
      </c>
      <c r="N12" s="11">
        <v>4.1467265152832002</v>
      </c>
      <c r="O12" s="11">
        <v>4.3794473175806301E-2</v>
      </c>
      <c r="P12" s="11">
        <v>2.1731871527080502</v>
      </c>
      <c r="Q12" s="11">
        <v>1.8244139359372601E-2</v>
      </c>
      <c r="R12" s="11">
        <v>0.19894875097654299</v>
      </c>
      <c r="S12" s="12">
        <v>1389.8308345508101</v>
      </c>
      <c r="T12" s="11">
        <v>12.2292292315735</v>
      </c>
      <c r="U12" s="12">
        <v>1393.6248131032901</v>
      </c>
      <c r="V12" s="11">
        <v>51.142414187159602</v>
      </c>
      <c r="W12" s="28">
        <v>30</v>
      </c>
    </row>
    <row r="13" spans="1:24" x14ac:dyDescent="0.2">
      <c r="A13" s="1">
        <v>1</v>
      </c>
      <c r="B13" s="11" t="s">
        <v>32</v>
      </c>
      <c r="C13" s="11" t="s">
        <v>217</v>
      </c>
      <c r="D13" s="12">
        <v>3.2608679435204402</v>
      </c>
      <c r="E13" s="12">
        <v>5.26895306434354E-2</v>
      </c>
      <c r="F13" s="12">
        <v>0.25958310314899702</v>
      </c>
      <c r="G13" s="12">
        <v>3.16127220553505E-3</v>
      </c>
      <c r="H13" s="12">
        <v>0.53020613436554898</v>
      </c>
      <c r="I13" s="13">
        <f t="shared" si="0"/>
        <v>101.67773995956475</v>
      </c>
      <c r="J13" s="3">
        <f t="shared" si="1"/>
        <v>-1.6777399595647502</v>
      </c>
      <c r="K13" s="3">
        <v>0</v>
      </c>
      <c r="L13" s="11">
        <v>9.18168450220858E-2</v>
      </c>
      <c r="M13" s="11">
        <v>1.2886296798404299E-3</v>
      </c>
      <c r="N13" s="11">
        <v>3.85566931547601</v>
      </c>
      <c r="O13" s="11">
        <v>4.6757503159800401E-2</v>
      </c>
      <c r="P13" s="11">
        <v>1.64816014127331</v>
      </c>
      <c r="Q13" s="11">
        <v>4.5438767289066699E-2</v>
      </c>
      <c r="R13" s="11">
        <v>5.2379740354924799E-2</v>
      </c>
      <c r="S13" s="12">
        <v>1487.26754351875</v>
      </c>
      <c r="T13" s="11">
        <v>16.164410421033701</v>
      </c>
      <c r="U13" s="12">
        <v>1462.72679163621</v>
      </c>
      <c r="V13" s="11">
        <v>25.3114551441308</v>
      </c>
      <c r="W13" s="28">
        <v>30</v>
      </c>
    </row>
    <row r="14" spans="1:24" s="5" customFormat="1" x14ac:dyDescent="0.2">
      <c r="A14" s="1">
        <v>1</v>
      </c>
      <c r="B14" s="5" t="s">
        <v>33</v>
      </c>
      <c r="C14" s="5" t="s">
        <v>218</v>
      </c>
      <c r="D14" s="5">
        <v>1.5646015386430501</v>
      </c>
      <c r="E14" s="5">
        <v>4.7683508432417997E-2</v>
      </c>
      <c r="F14" s="5">
        <v>0.105978846918227</v>
      </c>
      <c r="G14" s="5">
        <v>3.4865726966738599E-3</v>
      </c>
      <c r="H14" s="5">
        <v>0.61956327128722399</v>
      </c>
      <c r="I14" s="6">
        <f t="shared" si="0"/>
        <v>36.589879139202878</v>
      </c>
      <c r="J14" s="7">
        <f t="shared" si="1"/>
        <v>63.410120860797115</v>
      </c>
      <c r="K14" s="3">
        <v>10</v>
      </c>
      <c r="L14" s="5">
        <v>0.10959654159668</v>
      </c>
      <c r="M14" s="5">
        <v>3.0524387753247699E-3</v>
      </c>
      <c r="N14" s="5">
        <v>9.6663962042326599</v>
      </c>
      <c r="O14" s="5">
        <v>0.35501553314879403</v>
      </c>
      <c r="P14" s="5">
        <v>0.105917282389891</v>
      </c>
      <c r="Q14" s="5">
        <v>6.4440319039926197E-3</v>
      </c>
      <c r="R14" s="5">
        <v>0.42556766802482399</v>
      </c>
      <c r="S14" s="5">
        <v>648.64487514023494</v>
      </c>
      <c r="T14" s="5">
        <v>20.3812631426038</v>
      </c>
      <c r="U14" s="5">
        <v>1772.7439674575701</v>
      </c>
      <c r="V14" s="5">
        <v>51.073175210428602</v>
      </c>
      <c r="W14" s="28">
        <v>30</v>
      </c>
      <c r="X14" s="22"/>
    </row>
    <row r="15" spans="1:24" s="5" customFormat="1" x14ac:dyDescent="0.2">
      <c r="A15" s="1">
        <v>1</v>
      </c>
      <c r="B15" s="5" t="s">
        <v>34</v>
      </c>
      <c r="C15" s="5" t="s">
        <v>219</v>
      </c>
      <c r="D15" s="5">
        <v>2.5988930583168899</v>
      </c>
      <c r="E15" s="5">
        <v>8.6861761161472206E-2</v>
      </c>
      <c r="F15" s="5">
        <v>0.198974080830747</v>
      </c>
      <c r="G15" s="5">
        <v>7.26707544102738E-3</v>
      </c>
      <c r="H15" s="5">
        <v>0.890475086588423</v>
      </c>
      <c r="I15" s="6">
        <f t="shared" si="0"/>
        <v>75.29200985760977</v>
      </c>
      <c r="J15" s="7">
        <f t="shared" si="1"/>
        <v>24.707990142390223</v>
      </c>
      <c r="K15" s="3">
        <v>10</v>
      </c>
      <c r="L15" s="5">
        <v>9.6524783940763206E-2</v>
      </c>
      <c r="M15" s="5">
        <v>1.58286886571448E-3</v>
      </c>
      <c r="N15" s="5">
        <v>5.19851523405063</v>
      </c>
      <c r="O15" s="5">
        <v>0.23362468559164201</v>
      </c>
      <c r="P15" s="5">
        <v>0.51086630837584601</v>
      </c>
      <c r="Q15" s="5">
        <v>4.7919298033716001E-2</v>
      </c>
      <c r="R15" s="5">
        <v>0.42693817624950497</v>
      </c>
      <c r="S15" s="5">
        <v>1167.1575677268499</v>
      </c>
      <c r="T15" s="5">
        <v>39.568160852578799</v>
      </c>
      <c r="U15" s="5">
        <v>1550.17454034518</v>
      </c>
      <c r="V15" s="5">
        <v>31.029172153405401</v>
      </c>
      <c r="W15" s="28">
        <v>30</v>
      </c>
      <c r="X15" s="22"/>
    </row>
    <row r="16" spans="1:24" x14ac:dyDescent="0.2">
      <c r="A16" s="1">
        <v>1</v>
      </c>
      <c r="B16" s="11" t="s">
        <v>35</v>
      </c>
      <c r="C16" s="11" t="s">
        <v>220</v>
      </c>
      <c r="D16" s="12">
        <v>2.8908082044035499</v>
      </c>
      <c r="E16" s="12">
        <v>6.4179076927888101E-2</v>
      </c>
      <c r="F16" s="12">
        <v>0.245110749756313</v>
      </c>
      <c r="G16" s="12">
        <v>2.54615368374553E-3</v>
      </c>
      <c r="H16" s="12">
        <v>5.3947579475552197E-2</v>
      </c>
      <c r="I16" s="13">
        <f t="shared" si="0"/>
        <v>105.03561892162665</v>
      </c>
      <c r="J16" s="3">
        <f t="shared" si="1"/>
        <v>-5.03561892162665</v>
      </c>
      <c r="K16" s="3">
        <v>0</v>
      </c>
      <c r="L16" s="11">
        <v>8.6585045359955301E-2</v>
      </c>
      <c r="M16" s="11">
        <v>2.0211300650224699E-3</v>
      </c>
      <c r="N16" s="11">
        <v>4.0721365950516901</v>
      </c>
      <c r="O16" s="11">
        <v>4.0350212414504899E-2</v>
      </c>
      <c r="P16" s="11">
        <v>2.2174453633227</v>
      </c>
      <c r="Q16" s="11">
        <v>1.9380944225376801E-2</v>
      </c>
      <c r="R16" s="11">
        <v>0.34362829253176302</v>
      </c>
      <c r="S16" s="12">
        <v>1412.91835254949</v>
      </c>
      <c r="T16" s="11">
        <v>13.1938764174366</v>
      </c>
      <c r="U16" s="12">
        <v>1345.1802036828601</v>
      </c>
      <c r="V16" s="11">
        <v>42.508649701275502</v>
      </c>
      <c r="W16" s="28">
        <v>30</v>
      </c>
    </row>
    <row r="17" spans="1:24" x14ac:dyDescent="0.2">
      <c r="A17" s="1">
        <v>1</v>
      </c>
      <c r="B17" s="11" t="s">
        <v>36</v>
      </c>
      <c r="C17" s="11" t="s">
        <v>221</v>
      </c>
      <c r="D17" s="12">
        <v>2.40993021226046</v>
      </c>
      <c r="E17" s="12">
        <v>7.8506905365681001E-2</v>
      </c>
      <c r="F17" s="12">
        <v>0.21339260213823899</v>
      </c>
      <c r="G17" s="12">
        <v>2.8265513788748699E-3</v>
      </c>
      <c r="H17" s="12">
        <v>0.16307054910032101</v>
      </c>
      <c r="I17" s="13">
        <f t="shared" si="0"/>
        <v>100.06379990877915</v>
      </c>
      <c r="J17" s="3">
        <f t="shared" si="1"/>
        <v>-6.3799908779138548E-2</v>
      </c>
      <c r="K17" s="3">
        <v>0</v>
      </c>
      <c r="L17" s="11">
        <v>8.2930067191443496E-2</v>
      </c>
      <c r="M17" s="11">
        <v>2.7225980275618401E-3</v>
      </c>
      <c r="N17" s="11">
        <v>4.6824652149674897</v>
      </c>
      <c r="O17" s="11">
        <v>6.0131805128345497E-2</v>
      </c>
      <c r="P17" s="11">
        <v>2.9554632302164401</v>
      </c>
      <c r="Q17" s="11">
        <v>4.2045014000347498E-2</v>
      </c>
      <c r="R17" s="11">
        <v>0.23388136256747999</v>
      </c>
      <c r="S17" s="12">
        <v>1246.48153927268</v>
      </c>
      <c r="T17" s="11">
        <v>15.037347536158601</v>
      </c>
      <c r="U17" s="12">
        <v>1245.68679223556</v>
      </c>
      <c r="V17" s="11">
        <v>68.309488197805507</v>
      </c>
      <c r="W17" s="28">
        <v>30</v>
      </c>
    </row>
    <row r="18" spans="1:24" x14ac:dyDescent="0.2">
      <c r="A18" s="1">
        <v>1</v>
      </c>
      <c r="B18" s="11" t="s">
        <v>37</v>
      </c>
      <c r="C18" s="11" t="s">
        <v>222</v>
      </c>
      <c r="D18" s="12">
        <v>3.24350219867909</v>
      </c>
      <c r="E18" s="12">
        <v>9.7212687160442499E-2</v>
      </c>
      <c r="F18" s="12">
        <v>0.25725027669982597</v>
      </c>
      <c r="G18" s="12">
        <v>2.9940250372385499E-3</v>
      </c>
      <c r="H18" s="12">
        <v>0.20063121893939501</v>
      </c>
      <c r="I18" s="13">
        <f t="shared" si="0"/>
        <v>100.49760566909227</v>
      </c>
      <c r="J18" s="3">
        <f t="shared" si="1"/>
        <v>-0.49760566909227144</v>
      </c>
      <c r="K18" s="3">
        <v>0</v>
      </c>
      <c r="L18" s="11">
        <v>9.3267217674553399E-2</v>
      </c>
      <c r="M18" s="11">
        <v>2.82144825595844E-3</v>
      </c>
      <c r="N18" s="11">
        <v>3.8798642038925202</v>
      </c>
      <c r="O18" s="11">
        <v>4.2161497511956102E-2</v>
      </c>
      <c r="P18" s="11">
        <v>1.90397067323402</v>
      </c>
      <c r="Q18" s="11">
        <v>4.4149784391406099E-2</v>
      </c>
      <c r="R18" s="11">
        <v>0.235906447405343</v>
      </c>
      <c r="S18" s="12">
        <v>1475.3555273008401</v>
      </c>
      <c r="T18" s="11">
        <v>15.3747999833544</v>
      </c>
      <c r="U18" s="12">
        <v>1468.0504251601101</v>
      </c>
      <c r="V18" s="11">
        <v>58.5391727347765</v>
      </c>
      <c r="W18" s="28">
        <v>30</v>
      </c>
    </row>
    <row r="19" spans="1:24" s="5" customFormat="1" x14ac:dyDescent="0.2">
      <c r="A19" s="1">
        <v>1</v>
      </c>
      <c r="B19" s="5" t="s">
        <v>38</v>
      </c>
      <c r="C19" s="5" t="s">
        <v>223</v>
      </c>
      <c r="D19" s="5">
        <v>8.9289461261535497</v>
      </c>
      <c r="E19" s="5">
        <v>0.10150595526093401</v>
      </c>
      <c r="F19" s="5">
        <v>0.388285447312819</v>
      </c>
      <c r="G19" s="5">
        <v>3.9057255786584099E-3</v>
      </c>
      <c r="H19" s="5">
        <v>0.53694272032194501</v>
      </c>
      <c r="I19" s="6">
        <f t="shared" si="0"/>
        <v>83.075321398087084</v>
      </c>
      <c r="J19" s="7">
        <f t="shared" si="1"/>
        <v>16.924678601912913</v>
      </c>
      <c r="K19" s="3">
        <v>10</v>
      </c>
      <c r="L19" s="5">
        <v>0.169120833508456</v>
      </c>
      <c r="M19" s="5">
        <v>2.0541214087399602E-3</v>
      </c>
      <c r="N19" s="5">
        <v>2.5753273509552601</v>
      </c>
      <c r="O19" s="5">
        <v>2.6874701653570799E-2</v>
      </c>
      <c r="P19" s="5">
        <v>0.42882142058662098</v>
      </c>
      <c r="Q19" s="5">
        <v>2.4464332724015998E-2</v>
      </c>
      <c r="R19" s="5">
        <v>0.357733687057186</v>
      </c>
      <c r="S19" s="5">
        <v>2114.3073473571499</v>
      </c>
      <c r="T19" s="5">
        <v>18.216665609141302</v>
      </c>
      <c r="U19" s="5">
        <v>2545.0486519644501</v>
      </c>
      <c r="V19" s="5">
        <v>20.325036995401501</v>
      </c>
      <c r="W19" s="28">
        <v>30</v>
      </c>
      <c r="X19" s="22"/>
    </row>
    <row r="20" spans="1:24" x14ac:dyDescent="0.2">
      <c r="A20" s="1">
        <v>1</v>
      </c>
      <c r="B20" s="11" t="s">
        <v>39</v>
      </c>
      <c r="C20" s="11" t="s">
        <v>224</v>
      </c>
      <c r="D20" s="12">
        <v>3.05919061448864</v>
      </c>
      <c r="E20" s="12">
        <v>3.9350907530947901E-2</v>
      </c>
      <c r="F20" s="12">
        <v>0.23988558074698799</v>
      </c>
      <c r="G20" s="12">
        <v>3.3204705695355601E-3</v>
      </c>
      <c r="H20" s="12">
        <v>0.70363953948702895</v>
      </c>
      <c r="I20" s="13">
        <f t="shared" si="0"/>
        <v>92.40631839777302</v>
      </c>
      <c r="J20" s="3">
        <f t="shared" si="1"/>
        <v>7.593681602226976</v>
      </c>
      <c r="K20" s="3">
        <v>0</v>
      </c>
      <c r="L20" s="11">
        <v>9.3749686021620801E-2</v>
      </c>
      <c r="M20" s="11">
        <v>9.6709793943306399E-4</v>
      </c>
      <c r="N20" s="11">
        <v>4.1762622215474998</v>
      </c>
      <c r="O20" s="11">
        <v>5.7161268848205701E-2</v>
      </c>
      <c r="P20" s="11">
        <v>2.07801580681905</v>
      </c>
      <c r="Q20" s="11">
        <v>0.164817461954782</v>
      </c>
      <c r="R20" s="11">
        <v>0.47055085292430399</v>
      </c>
      <c r="S20" s="12">
        <v>1385.5946819504099</v>
      </c>
      <c r="T20" s="11">
        <v>17.236896527534199</v>
      </c>
      <c r="U20" s="12">
        <v>1499.4588097168501</v>
      </c>
      <c r="V20" s="11">
        <v>19.489479398326299</v>
      </c>
      <c r="W20" s="28">
        <v>30</v>
      </c>
    </row>
    <row r="21" spans="1:24" x14ac:dyDescent="0.2">
      <c r="A21" s="1">
        <v>1</v>
      </c>
      <c r="B21" s="11" t="s">
        <v>40</v>
      </c>
      <c r="C21" s="11" t="s">
        <v>225</v>
      </c>
      <c r="D21" s="12">
        <v>5.1380266818339004</v>
      </c>
      <c r="E21" s="12">
        <v>0.123114944831672</v>
      </c>
      <c r="F21" s="12">
        <v>0.33710802330774903</v>
      </c>
      <c r="G21" s="12">
        <v>3.9151933588721603E-3</v>
      </c>
      <c r="H21" s="12">
        <v>0.35534981007238697</v>
      </c>
      <c r="I21" s="13">
        <f t="shared" si="0"/>
        <v>102.65173658891669</v>
      </c>
      <c r="J21" s="3">
        <f t="shared" si="1"/>
        <v>-2.6517365889166866</v>
      </c>
      <c r="K21" s="3">
        <v>0</v>
      </c>
      <c r="L21" s="11">
        <v>0.11241099759143</v>
      </c>
      <c r="M21" s="11">
        <v>2.68994136431363E-3</v>
      </c>
      <c r="N21" s="11">
        <v>2.9566793615185198</v>
      </c>
      <c r="O21" s="11">
        <v>3.4182793489286697E-2</v>
      </c>
      <c r="P21" s="11">
        <v>3.66565596760171</v>
      </c>
      <c r="Q21" s="11">
        <v>6.7671407329830596E-2</v>
      </c>
      <c r="R21" s="11">
        <v>0.111679708352422</v>
      </c>
      <c r="S21" s="12">
        <v>1872.13393499931</v>
      </c>
      <c r="T21" s="11">
        <v>18.878251981525398</v>
      </c>
      <c r="U21" s="12">
        <v>1823.7722976831201</v>
      </c>
      <c r="V21" s="11">
        <v>44.024231559202597</v>
      </c>
      <c r="W21" s="28">
        <v>30</v>
      </c>
    </row>
    <row r="22" spans="1:24" x14ac:dyDescent="0.2">
      <c r="A22" s="1">
        <v>1</v>
      </c>
      <c r="B22" s="11" t="s">
        <v>41</v>
      </c>
      <c r="C22" s="11" t="s">
        <v>226</v>
      </c>
      <c r="D22" s="12">
        <v>13.552846681999901</v>
      </c>
      <c r="E22" s="12">
        <v>0.19869451721043399</v>
      </c>
      <c r="F22" s="12">
        <v>0.50677951751714201</v>
      </c>
      <c r="G22" s="12">
        <v>6.3984118279572996E-3</v>
      </c>
      <c r="H22" s="12">
        <v>0.57161679386580699</v>
      </c>
      <c r="I22" s="13">
        <f t="shared" si="0"/>
        <v>94.19054010527816</v>
      </c>
      <c r="J22" s="3">
        <f t="shared" si="1"/>
        <v>5.8094598947218357</v>
      </c>
      <c r="K22" s="3">
        <v>0</v>
      </c>
      <c r="L22" s="11">
        <v>0.19739251025753901</v>
      </c>
      <c r="M22" s="11">
        <v>2.3426847674947598E-3</v>
      </c>
      <c r="N22" s="11">
        <v>1.9751923673899501</v>
      </c>
      <c r="O22" s="11">
        <v>2.3712088066096201E-2</v>
      </c>
      <c r="P22" s="11">
        <v>1.0059027169664101</v>
      </c>
      <c r="Q22" s="11">
        <v>0.10380775092349399</v>
      </c>
      <c r="R22" s="11">
        <v>0.23780193874523101</v>
      </c>
      <c r="S22" s="12">
        <v>2641.6036839664698</v>
      </c>
      <c r="T22" s="11">
        <v>27.113769740616601</v>
      </c>
      <c r="U22" s="12">
        <v>2804.5318362267699</v>
      </c>
      <c r="V22" s="11">
        <v>20.204089159883601</v>
      </c>
      <c r="W22" s="28">
        <v>30</v>
      </c>
    </row>
    <row r="23" spans="1:24" s="5" customFormat="1" x14ac:dyDescent="0.2">
      <c r="A23" s="1">
        <v>1</v>
      </c>
      <c r="B23" s="5" t="s">
        <v>42</v>
      </c>
      <c r="C23" s="5" t="s">
        <v>227</v>
      </c>
      <c r="D23" s="5">
        <v>1.3548026934028099</v>
      </c>
      <c r="E23" s="5">
        <v>5.9198600949275398E-2</v>
      </c>
      <c r="F23" s="5">
        <v>5.6697442091476799E-2</v>
      </c>
      <c r="G23" s="5">
        <v>1.4901593290649101E-3</v>
      </c>
      <c r="H23" s="5">
        <v>0.79312658505414502</v>
      </c>
      <c r="I23" s="6">
        <f t="shared" si="0"/>
        <v>13.725097072169765</v>
      </c>
      <c r="J23" s="7">
        <f t="shared" si="1"/>
        <v>86.274902927830226</v>
      </c>
      <c r="K23" s="3">
        <v>10</v>
      </c>
      <c r="L23" s="5">
        <v>0.17433196143190899</v>
      </c>
      <c r="M23" s="5">
        <v>4.0090875940042197E-3</v>
      </c>
      <c r="N23" s="5">
        <v>17.792732918602599</v>
      </c>
      <c r="O23" s="5">
        <v>0.48517814727066599</v>
      </c>
      <c r="P23" s="5">
        <v>0.31108483390696101</v>
      </c>
      <c r="Q23" s="5">
        <v>1.34123540129471E-2</v>
      </c>
      <c r="R23" s="5">
        <v>-0.39126372444109397</v>
      </c>
      <c r="S23" s="5">
        <v>355.37028775842498</v>
      </c>
      <c r="T23" s="5">
        <v>9.0857008157911299</v>
      </c>
      <c r="U23" s="5">
        <v>2589.2005418235299</v>
      </c>
      <c r="V23" s="5">
        <v>34.617945288394303</v>
      </c>
      <c r="W23" s="28">
        <v>30</v>
      </c>
      <c r="X23" s="22"/>
    </row>
    <row r="24" spans="1:24" x14ac:dyDescent="0.2">
      <c r="A24" s="1">
        <v>1</v>
      </c>
      <c r="B24" s="11" t="s">
        <v>43</v>
      </c>
      <c r="C24" s="11" t="s">
        <v>228</v>
      </c>
      <c r="D24" s="12">
        <v>2.8430615102154899</v>
      </c>
      <c r="E24" s="12">
        <v>5.1262840935185898E-2</v>
      </c>
      <c r="F24" s="12">
        <v>0.23454557538191301</v>
      </c>
      <c r="G24" s="12">
        <v>2.1628526550847901E-3</v>
      </c>
      <c r="H24" s="12">
        <v>0.41226422331249502</v>
      </c>
      <c r="I24" s="13">
        <f t="shared" si="0"/>
        <v>97.084119252113723</v>
      </c>
      <c r="J24" s="3">
        <f t="shared" si="1"/>
        <v>2.9158807478862792</v>
      </c>
      <c r="K24" s="3">
        <v>0</v>
      </c>
      <c r="L24" s="11">
        <v>8.8881512753740205E-2</v>
      </c>
      <c r="M24" s="11">
        <v>1.4604536889687499E-3</v>
      </c>
      <c r="N24" s="11">
        <v>4.2616500383696003</v>
      </c>
      <c r="O24" s="11">
        <v>3.9871623935051698E-2</v>
      </c>
      <c r="P24" s="11">
        <v>3.10457453238419</v>
      </c>
      <c r="Q24" s="11">
        <v>4.2181493471206997E-2</v>
      </c>
      <c r="R24" s="11">
        <v>0.121558167978224</v>
      </c>
      <c r="S24" s="12">
        <v>1358.0605872500701</v>
      </c>
      <c r="T24" s="11">
        <v>11.304041774947001</v>
      </c>
      <c r="U24" s="12">
        <v>1398.8493666233701</v>
      </c>
      <c r="V24" s="11">
        <v>30.584710664129901</v>
      </c>
      <c r="W24" s="28">
        <v>30</v>
      </c>
    </row>
    <row r="25" spans="1:24" x14ac:dyDescent="0.2">
      <c r="A25" s="1">
        <v>1</v>
      </c>
      <c r="B25" s="11" t="s">
        <v>44</v>
      </c>
      <c r="C25" s="11" t="s">
        <v>229</v>
      </c>
      <c r="D25" s="12">
        <v>2.2942147307249501</v>
      </c>
      <c r="E25" s="12">
        <v>5.9991148177461998E-2</v>
      </c>
      <c r="F25" s="12">
        <v>0.20613405898374099</v>
      </c>
      <c r="G25" s="12">
        <v>2.5631311573187602E-3</v>
      </c>
      <c r="H25" s="12">
        <v>0.441553237910767</v>
      </c>
      <c r="I25" s="13">
        <f t="shared" si="0"/>
        <v>98.6454370001195</v>
      </c>
      <c r="J25" s="3">
        <f t="shared" si="1"/>
        <v>1.3545629998805042</v>
      </c>
      <c r="K25" s="3">
        <v>0</v>
      </c>
      <c r="L25" s="11">
        <v>8.1576358925444098E-2</v>
      </c>
      <c r="M25" s="11">
        <v>1.90274888181843E-3</v>
      </c>
      <c r="N25" s="11">
        <v>4.8104104037456503</v>
      </c>
      <c r="O25" s="11">
        <v>5.5486222919189102E-2</v>
      </c>
      <c r="P25" s="11">
        <v>1.9809329460751399</v>
      </c>
      <c r="Q25" s="11">
        <v>2.1521802749185599E-2</v>
      </c>
      <c r="R25" s="11">
        <v>4.5530396347475098E-2</v>
      </c>
      <c r="S25" s="12">
        <v>1210.27184420817</v>
      </c>
      <c r="T25" s="11">
        <v>13.000798240226301</v>
      </c>
      <c r="U25" s="12">
        <v>1226.8908537621501</v>
      </c>
      <c r="V25" s="11">
        <v>44.8091495101297</v>
      </c>
      <c r="W25" s="28">
        <v>30</v>
      </c>
    </row>
    <row r="26" spans="1:24" x14ac:dyDescent="0.2">
      <c r="A26" s="1">
        <v>1</v>
      </c>
      <c r="B26" s="11" t="s">
        <v>45</v>
      </c>
      <c r="C26" s="11" t="s">
        <v>230</v>
      </c>
      <c r="D26" s="12">
        <v>3.9135447958462399</v>
      </c>
      <c r="E26" s="12">
        <v>8.4257023437040293E-2</v>
      </c>
      <c r="F26" s="12">
        <v>0.275993850271189</v>
      </c>
      <c r="G26" s="12">
        <v>3.3453473986074702E-3</v>
      </c>
      <c r="H26" s="12">
        <v>0.13230864645170001</v>
      </c>
      <c r="I26" s="13">
        <f t="shared" si="0"/>
        <v>92.964718898197916</v>
      </c>
      <c r="J26" s="3">
        <f t="shared" si="1"/>
        <v>7.0352811018020827</v>
      </c>
      <c r="K26" s="3">
        <v>0</v>
      </c>
      <c r="L26" s="11">
        <v>0.10439572035542299</v>
      </c>
      <c r="M26" s="11">
        <v>2.3925906528963498E-3</v>
      </c>
      <c r="N26" s="11">
        <v>3.62649551789726</v>
      </c>
      <c r="O26" s="11">
        <v>4.4095311413195698E-2</v>
      </c>
      <c r="P26" s="11">
        <v>1.57154382115099</v>
      </c>
      <c r="Q26" s="11">
        <v>2.7794755659859099E-2</v>
      </c>
      <c r="R26" s="11">
        <v>0.32123120120347098</v>
      </c>
      <c r="S26" s="12">
        <v>1570.66770908947</v>
      </c>
      <c r="T26" s="11">
        <v>16.889127320421299</v>
      </c>
      <c r="U26" s="12">
        <v>1689.5309615354699</v>
      </c>
      <c r="V26" s="11">
        <v>42.858443231177603</v>
      </c>
      <c r="W26" s="28">
        <v>30</v>
      </c>
    </row>
    <row r="27" spans="1:24" s="5" customFormat="1" x14ac:dyDescent="0.2">
      <c r="A27" s="1">
        <v>1</v>
      </c>
      <c r="B27" s="5" t="s">
        <v>46</v>
      </c>
      <c r="C27" s="5" t="s">
        <v>231</v>
      </c>
      <c r="D27" s="5">
        <v>2.9393880956271099</v>
      </c>
      <c r="E27" s="5">
        <v>9.5869694425103694E-2</v>
      </c>
      <c r="F27" s="5">
        <v>0.212522052201322</v>
      </c>
      <c r="G27" s="5">
        <v>1.0157706348147401E-2</v>
      </c>
      <c r="H27" s="5">
        <v>0.38712017729362702</v>
      </c>
      <c r="I27" s="6">
        <f t="shared" si="0"/>
        <v>74.114021337341555</v>
      </c>
      <c r="J27" s="7">
        <f t="shared" si="1"/>
        <v>25.885978662658449</v>
      </c>
      <c r="K27" s="3">
        <v>10</v>
      </c>
      <c r="L27" s="5">
        <v>0.105747841166589</v>
      </c>
      <c r="M27" s="5">
        <v>5.1485513616915599E-3</v>
      </c>
      <c r="N27" s="5">
        <v>4.9565630342826301</v>
      </c>
      <c r="O27" s="5">
        <v>0.25104950060257297</v>
      </c>
      <c r="P27" s="5">
        <v>0.52779855320223201</v>
      </c>
      <c r="Q27" s="5">
        <v>7.2099232279246098E-2</v>
      </c>
      <c r="R27" s="5">
        <v>0.79020516004679897</v>
      </c>
      <c r="S27" s="5">
        <v>1237.2374352414399</v>
      </c>
      <c r="T27" s="5">
        <v>54.2168784554718</v>
      </c>
      <c r="U27" s="5">
        <v>1669.3702661335301</v>
      </c>
      <c r="V27" s="5">
        <v>87.968543692093704</v>
      </c>
      <c r="W27" s="28">
        <v>30</v>
      </c>
      <c r="X27" s="22"/>
    </row>
    <row r="28" spans="1:24" x14ac:dyDescent="0.2">
      <c r="A28" s="1">
        <v>1</v>
      </c>
      <c r="B28" s="11" t="s">
        <v>47</v>
      </c>
      <c r="C28" s="11" t="s">
        <v>232</v>
      </c>
      <c r="D28" s="12">
        <v>2.8401453991428398</v>
      </c>
      <c r="E28" s="12">
        <v>6.4204436478623103E-2</v>
      </c>
      <c r="F28" s="12">
        <v>0.23576369488479099</v>
      </c>
      <c r="G28" s="12">
        <v>2.8322520669741601E-3</v>
      </c>
      <c r="H28" s="12">
        <v>0.294959390090205</v>
      </c>
      <c r="I28" s="13">
        <f t="shared" si="0"/>
        <v>98.246135467945692</v>
      </c>
      <c r="J28" s="3">
        <f t="shared" si="1"/>
        <v>1.7538645320543056</v>
      </c>
      <c r="K28" s="3">
        <v>0</v>
      </c>
      <c r="L28" s="11">
        <v>8.8613054782582704E-2</v>
      </c>
      <c r="M28" s="11">
        <v>1.9730910380432801E-3</v>
      </c>
      <c r="N28" s="11">
        <v>4.2449936890009701</v>
      </c>
      <c r="O28" s="11">
        <v>5.0787714144681501E-2</v>
      </c>
      <c r="P28" s="11">
        <v>2.08057082086339</v>
      </c>
      <c r="Q28" s="11">
        <v>2.23114783258942E-2</v>
      </c>
      <c r="R28" s="11">
        <v>0.18932086330849901</v>
      </c>
      <c r="S28" s="12">
        <v>1364.2639523001201</v>
      </c>
      <c r="T28" s="11">
        <v>14.7610252873558</v>
      </c>
      <c r="U28" s="12">
        <v>1388.6184385799399</v>
      </c>
      <c r="V28" s="11">
        <v>41.4300620381442</v>
      </c>
      <c r="W28" s="28">
        <v>30</v>
      </c>
    </row>
    <row r="29" spans="1:24" s="5" customFormat="1" x14ac:dyDescent="0.2">
      <c r="A29" s="1">
        <v>1</v>
      </c>
      <c r="B29" s="5" t="s">
        <v>48</v>
      </c>
      <c r="C29" s="5" t="s">
        <v>233</v>
      </c>
      <c r="D29" s="5">
        <v>1.3403683673866</v>
      </c>
      <c r="E29" s="5">
        <v>2.1246748832518699E-2</v>
      </c>
      <c r="F29" s="5">
        <v>6.5966955952491593E-2</v>
      </c>
      <c r="G29" s="5">
        <v>8.34885021348449E-4</v>
      </c>
      <c r="H29" s="5">
        <v>0.40314456820744499</v>
      </c>
      <c r="I29" s="6">
        <f t="shared" si="0"/>
        <v>17.647684252453121</v>
      </c>
      <c r="J29" s="7">
        <f t="shared" si="1"/>
        <v>82.352315747546882</v>
      </c>
      <c r="K29" s="3">
        <v>10</v>
      </c>
      <c r="L29" s="5">
        <v>0.14903198691481701</v>
      </c>
      <c r="M29" s="5">
        <v>2.2985214132439499E-3</v>
      </c>
      <c r="N29" s="5">
        <v>15.1755412936072</v>
      </c>
      <c r="O29" s="5">
        <v>0.187029095947716</v>
      </c>
      <c r="P29" s="5">
        <v>0.25887644507160801</v>
      </c>
      <c r="Q29" s="5">
        <v>4.7036767797514799E-3</v>
      </c>
      <c r="R29" s="5">
        <v>0.43719071483080701</v>
      </c>
      <c r="S29" s="5">
        <v>411.76850715498301</v>
      </c>
      <c r="T29" s="5">
        <v>5.04365164716992</v>
      </c>
      <c r="U29" s="5">
        <v>2333.27218044342</v>
      </c>
      <c r="V29" s="5">
        <v>25.078315210498999</v>
      </c>
      <c r="W29" s="28">
        <v>30</v>
      </c>
      <c r="X29" s="22"/>
    </row>
    <row r="30" spans="1:24" s="5" customFormat="1" x14ac:dyDescent="0.2">
      <c r="A30" s="1">
        <v>1</v>
      </c>
      <c r="B30" s="5" t="s">
        <v>49</v>
      </c>
      <c r="C30" s="5" t="s">
        <v>234</v>
      </c>
      <c r="D30" s="5">
        <v>2.6516188658025599</v>
      </c>
      <c r="E30" s="5">
        <v>6.9607987618895695E-2</v>
      </c>
      <c r="F30" s="5">
        <v>0.20409213292720901</v>
      </c>
      <c r="G30" s="5">
        <v>4.8308859223262996E-3</v>
      </c>
      <c r="H30" s="5">
        <v>0.56537182734741698</v>
      </c>
      <c r="I30" s="6">
        <f t="shared" si="0"/>
        <v>77.765663684013944</v>
      </c>
      <c r="J30" s="7">
        <f t="shared" si="1"/>
        <v>22.234336315986059</v>
      </c>
      <c r="K30" s="3">
        <v>10</v>
      </c>
      <c r="L30" s="5">
        <v>9.6340757019578394E-2</v>
      </c>
      <c r="M30" s="5">
        <v>2.4017173346632501E-3</v>
      </c>
      <c r="N30" s="5">
        <v>4.9450344379665303</v>
      </c>
      <c r="O30" s="5">
        <v>0.110955435267019</v>
      </c>
      <c r="P30" s="5">
        <v>2.0070417518336501</v>
      </c>
      <c r="Q30" s="5">
        <v>5.6839307817448503E-2</v>
      </c>
      <c r="R30" s="5">
        <v>0.39031692741493701</v>
      </c>
      <c r="S30" s="5">
        <v>1196.14639262125</v>
      </c>
      <c r="T30" s="5">
        <v>25.7092280272098</v>
      </c>
      <c r="U30" s="5">
        <v>1538.14207447848</v>
      </c>
      <c r="V30" s="5">
        <v>46.011126054614799</v>
      </c>
      <c r="W30" s="28">
        <v>30</v>
      </c>
      <c r="X30" s="22"/>
    </row>
    <row r="31" spans="1:24" s="5" customFormat="1" x14ac:dyDescent="0.2">
      <c r="A31" s="1">
        <v>1</v>
      </c>
      <c r="B31" s="5" t="s">
        <v>50</v>
      </c>
      <c r="C31" s="5" t="s">
        <v>235</v>
      </c>
      <c r="D31" s="5">
        <v>1.9431195362148901</v>
      </c>
      <c r="E31" s="5">
        <v>0.11728763879423</v>
      </c>
      <c r="F31" s="5">
        <v>0.113143186985176</v>
      </c>
      <c r="G31" s="5">
        <v>4.54236523108025E-3</v>
      </c>
      <c r="H31" s="5">
        <v>0.84427104416903098</v>
      </c>
      <c r="I31" s="6">
        <f t="shared" si="0"/>
        <v>34.326936786045337</v>
      </c>
      <c r="J31" s="7">
        <f t="shared" si="1"/>
        <v>65.673063213954663</v>
      </c>
      <c r="K31" s="3">
        <v>10</v>
      </c>
      <c r="L31" s="5">
        <v>0.124444329905547</v>
      </c>
      <c r="M31" s="5">
        <v>3.4824754957305001E-3</v>
      </c>
      <c r="N31" s="5">
        <v>9.1434061118743006</v>
      </c>
      <c r="O31" s="5">
        <v>0.37435747078015102</v>
      </c>
      <c r="P31" s="5">
        <v>0.364275742347826</v>
      </c>
      <c r="Q31" s="5">
        <v>1.37481386702374E-2</v>
      </c>
      <c r="R31" s="5">
        <v>-0.22010776319348399</v>
      </c>
      <c r="S31" s="5">
        <v>689.79703867338196</v>
      </c>
      <c r="T31" s="5">
        <v>26.281907398303499</v>
      </c>
      <c r="U31" s="5">
        <v>2009.4919711968</v>
      </c>
      <c r="V31" s="5">
        <v>50.523164879692402</v>
      </c>
      <c r="W31" s="28">
        <v>30</v>
      </c>
      <c r="X31" s="22"/>
    </row>
    <row r="32" spans="1:24" s="5" customFormat="1" x14ac:dyDescent="0.2">
      <c r="A32" s="1">
        <v>1</v>
      </c>
      <c r="B32" s="5" t="s">
        <v>51</v>
      </c>
      <c r="C32" s="5" t="s">
        <v>236</v>
      </c>
      <c r="D32" s="5">
        <v>2.9579349099766601</v>
      </c>
      <c r="E32" s="5">
        <v>6.1681526730078699E-2</v>
      </c>
      <c r="F32" s="5">
        <v>0.231055767032189</v>
      </c>
      <c r="G32" s="5">
        <v>2.78165098712631E-3</v>
      </c>
      <c r="H32" s="5">
        <v>0.60390335727129296</v>
      </c>
      <c r="I32" s="6">
        <f t="shared" si="0"/>
        <v>89.209821349118059</v>
      </c>
      <c r="J32" s="7">
        <f t="shared" si="1"/>
        <v>10.790178650881943</v>
      </c>
      <c r="K32" s="3">
        <v>10</v>
      </c>
      <c r="L32" s="5">
        <v>9.3823567570123806E-2</v>
      </c>
      <c r="M32" s="5">
        <v>1.56630157261983E-3</v>
      </c>
      <c r="N32" s="5">
        <v>4.32387618435357</v>
      </c>
      <c r="O32" s="5">
        <v>5.5172955870387799E-2</v>
      </c>
      <c r="P32" s="5">
        <v>1.92504234142575</v>
      </c>
      <c r="Q32" s="5">
        <v>0.145163540975977</v>
      </c>
      <c r="R32" s="5">
        <v>-8.4663393996192104E-2</v>
      </c>
      <c r="S32" s="5">
        <v>1339.66741805726</v>
      </c>
      <c r="T32" s="5">
        <v>14.582841800088501</v>
      </c>
      <c r="U32" s="5">
        <v>1501.7039579247</v>
      </c>
      <c r="V32" s="5">
        <v>29.787395061324698</v>
      </c>
      <c r="W32" s="28">
        <v>30</v>
      </c>
      <c r="X32" s="22"/>
    </row>
    <row r="33" spans="1:24" s="5" customFormat="1" x14ac:dyDescent="0.2">
      <c r="A33" s="1">
        <v>1</v>
      </c>
      <c r="B33" s="5" t="s">
        <v>52</v>
      </c>
      <c r="C33" s="5" t="s">
        <v>237</v>
      </c>
      <c r="D33" s="5">
        <v>3.5219951682543198</v>
      </c>
      <c r="E33" s="5">
        <v>0.27581069671478903</v>
      </c>
      <c r="F33" s="5">
        <v>0.14584632630205299</v>
      </c>
      <c r="G33" s="5">
        <v>2.98782072852666E-3</v>
      </c>
      <c r="H33" s="5">
        <v>0.69899449499366395</v>
      </c>
      <c r="I33" s="6">
        <f t="shared" si="0"/>
        <v>34.752142664694738</v>
      </c>
      <c r="J33" s="7">
        <f t="shared" si="1"/>
        <v>65.247857335305255</v>
      </c>
      <c r="K33" s="3">
        <v>10</v>
      </c>
      <c r="L33" s="5">
        <v>0.17509922150806301</v>
      </c>
      <c r="M33" s="5">
        <v>1.1279009295996701E-2</v>
      </c>
      <c r="N33" s="5">
        <v>6.8570187233926596</v>
      </c>
      <c r="O33" s="5">
        <v>0.12900053821405699</v>
      </c>
      <c r="P33" s="5">
        <v>3.3924328307474098E-2</v>
      </c>
      <c r="Q33" s="5">
        <v>1.46170372240387E-3</v>
      </c>
      <c r="R33" s="5">
        <v>-0.51226524109292304</v>
      </c>
      <c r="S33" s="5">
        <v>877.15564050568901</v>
      </c>
      <c r="T33" s="5">
        <v>16.801706371510701</v>
      </c>
      <c r="U33" s="5">
        <v>2524.0332631254</v>
      </c>
      <c r="V33" s="5">
        <v>102.771070843419</v>
      </c>
      <c r="W33" s="28">
        <v>30</v>
      </c>
      <c r="X33" s="22"/>
    </row>
    <row r="34" spans="1:24" s="5" customFormat="1" x14ac:dyDescent="0.2">
      <c r="A34" s="1">
        <v>1</v>
      </c>
      <c r="B34" s="5" t="s">
        <v>53</v>
      </c>
      <c r="C34" s="5" t="s">
        <v>238</v>
      </c>
      <c r="D34" s="5">
        <v>1.6123334749364799</v>
      </c>
      <c r="E34" s="5">
        <v>4.7845975854821997E-2</v>
      </c>
      <c r="F34" s="5">
        <v>9.7461494742461394E-2</v>
      </c>
      <c r="G34" s="5">
        <v>4.9651656493737498E-3</v>
      </c>
      <c r="H34" s="5">
        <v>0.69378435093531898</v>
      </c>
      <c r="I34" s="6">
        <f t="shared" ref="I34:I65" si="3">(S34/U34)*100</f>
        <v>29.769400560322616</v>
      </c>
      <c r="J34" s="7">
        <f t="shared" ref="J34:J65" si="4">(1-(S34/U34))*100</f>
        <v>70.230599439677377</v>
      </c>
      <c r="K34" s="3">
        <v>10</v>
      </c>
      <c r="L34" s="5">
        <v>0.12601808157715999</v>
      </c>
      <c r="M34" s="5">
        <v>4.8529880586198702E-3</v>
      </c>
      <c r="N34" s="5">
        <v>10.918275589044599</v>
      </c>
      <c r="O34" s="5">
        <v>0.61689173936535802</v>
      </c>
      <c r="P34" s="5">
        <v>0.25422547933894002</v>
      </c>
      <c r="Q34" s="5">
        <v>2.1682543879400499E-2</v>
      </c>
      <c r="R34" s="5">
        <v>0.78495603622555699</v>
      </c>
      <c r="S34" s="5">
        <v>598.05802979427597</v>
      </c>
      <c r="T34" s="5">
        <v>29.249839521662501</v>
      </c>
      <c r="U34" s="5">
        <v>2008.9690035323799</v>
      </c>
      <c r="V34" s="5">
        <v>66.348765245959896</v>
      </c>
      <c r="W34" s="28">
        <v>30</v>
      </c>
      <c r="X34" s="22"/>
    </row>
    <row r="35" spans="1:24" s="5" customFormat="1" x14ac:dyDescent="0.2">
      <c r="A35" s="1">
        <v>1</v>
      </c>
      <c r="B35" s="5" t="s">
        <v>54</v>
      </c>
      <c r="C35" s="5" t="s">
        <v>239</v>
      </c>
      <c r="D35" s="5">
        <v>1.7350774431018099</v>
      </c>
      <c r="E35" s="5">
        <v>3.93038014361674E-2</v>
      </c>
      <c r="F35" s="5">
        <v>0.131902241090847</v>
      </c>
      <c r="G35" s="5">
        <v>3.16650806616017E-3</v>
      </c>
      <c r="H35" s="5">
        <v>0.67198082066641296</v>
      </c>
      <c r="I35" s="6">
        <f t="shared" si="3"/>
        <v>51.049098105850256</v>
      </c>
      <c r="J35" s="7">
        <f t="shared" si="4"/>
        <v>48.950901894149744</v>
      </c>
      <c r="K35" s="3">
        <v>10</v>
      </c>
      <c r="L35" s="5">
        <v>9.7019425112961397E-2</v>
      </c>
      <c r="M35" s="5">
        <v>1.91308462198463E-3</v>
      </c>
      <c r="N35" s="5">
        <v>7.63292192620212</v>
      </c>
      <c r="O35" s="5">
        <v>0.20336194193622201</v>
      </c>
      <c r="P35" s="5">
        <v>0.44459010219174599</v>
      </c>
      <c r="Q35" s="5">
        <v>8.0228153487459201E-3</v>
      </c>
      <c r="R35" s="5">
        <v>0.48360957439142699</v>
      </c>
      <c r="S35" s="5">
        <v>798.15238942624296</v>
      </c>
      <c r="T35" s="5">
        <v>18.0580515237321</v>
      </c>
      <c r="U35" s="5">
        <v>1563.4994917467</v>
      </c>
      <c r="V35" s="5">
        <v>35.477375214765303</v>
      </c>
      <c r="W35" s="28">
        <v>30</v>
      </c>
      <c r="X35" s="22"/>
    </row>
    <row r="36" spans="1:24" s="5" customFormat="1" x14ac:dyDescent="0.2">
      <c r="A36" s="1">
        <v>1</v>
      </c>
      <c r="B36" s="5" t="s">
        <v>55</v>
      </c>
      <c r="C36" s="5" t="s">
        <v>240</v>
      </c>
      <c r="D36" s="5">
        <v>2.67185503711538</v>
      </c>
      <c r="E36" s="5">
        <v>5.8151399359521301E-2</v>
      </c>
      <c r="F36" s="5">
        <v>0.217129865726813</v>
      </c>
      <c r="G36" s="5">
        <v>1.9115842466341201E-3</v>
      </c>
      <c r="H36" s="5">
        <v>-1.4357207788890001E-2</v>
      </c>
      <c r="I36" s="6">
        <f t="shared" si="3"/>
        <v>89.321922021466179</v>
      </c>
      <c r="J36" s="7">
        <f t="shared" si="4"/>
        <v>10.678077978533818</v>
      </c>
      <c r="K36" s="3">
        <v>10</v>
      </c>
      <c r="L36" s="5">
        <v>9.0392494867209502E-2</v>
      </c>
      <c r="M36" s="5">
        <v>2.1538613062608201E-3</v>
      </c>
      <c r="N36" s="5">
        <v>4.6026246107422999</v>
      </c>
      <c r="O36" s="5">
        <v>4.1192958786633697E-2</v>
      </c>
      <c r="P36" s="5">
        <v>0.97113695534355005</v>
      </c>
      <c r="Q36" s="5">
        <v>6.1990389951196601E-2</v>
      </c>
      <c r="R36" s="5">
        <v>0.40125491852366202</v>
      </c>
      <c r="S36" s="5">
        <v>1266.51834729845</v>
      </c>
      <c r="T36" s="5">
        <v>10.1352914848274</v>
      </c>
      <c r="U36" s="5">
        <v>1417.92554239269</v>
      </c>
      <c r="V36" s="5">
        <v>46.061766942621297</v>
      </c>
      <c r="W36" s="28">
        <v>30</v>
      </c>
      <c r="X36" s="22"/>
    </row>
    <row r="37" spans="1:24" s="5" customFormat="1" x14ac:dyDescent="0.2">
      <c r="A37" s="1">
        <v>1</v>
      </c>
      <c r="B37" s="5" t="s">
        <v>56</v>
      </c>
      <c r="C37" s="5" t="s">
        <v>241</v>
      </c>
      <c r="D37" s="5">
        <v>3.4576662360964598</v>
      </c>
      <c r="E37" s="5">
        <v>0.13490730444920301</v>
      </c>
      <c r="F37" s="5">
        <v>0.24574773779311701</v>
      </c>
      <c r="G37" s="5">
        <v>2.6409690244077202E-3</v>
      </c>
      <c r="H37" s="5">
        <v>-8.6418805283109204E-2</v>
      </c>
      <c r="I37" s="6">
        <f t="shared" si="3"/>
        <v>88.573453022762067</v>
      </c>
      <c r="J37" s="7">
        <f t="shared" si="4"/>
        <v>11.426546977237939</v>
      </c>
      <c r="K37" s="3">
        <v>10</v>
      </c>
      <c r="L37" s="5">
        <v>0.10014687792450799</v>
      </c>
      <c r="M37" s="5">
        <v>3.9327476883615304E-3</v>
      </c>
      <c r="N37" s="5">
        <v>4.0707151455668997</v>
      </c>
      <c r="O37" s="5">
        <v>4.4342710581442499E-2</v>
      </c>
      <c r="P37" s="5">
        <v>3.9242472361310901</v>
      </c>
      <c r="Q37" s="5">
        <v>0.20828511738414099</v>
      </c>
      <c r="R37" s="5">
        <v>0.36914983445386901</v>
      </c>
      <c r="S37" s="5">
        <v>1416.1935426165101</v>
      </c>
      <c r="T37" s="5">
        <v>13.676819187062399</v>
      </c>
      <c r="U37" s="5">
        <v>1598.8916478762201</v>
      </c>
      <c r="V37" s="5">
        <v>73.676142029643501</v>
      </c>
      <c r="W37" s="28">
        <v>30</v>
      </c>
      <c r="X37" s="22"/>
    </row>
    <row r="38" spans="1:24" s="5" customFormat="1" x14ac:dyDescent="0.2">
      <c r="A38" s="1">
        <v>1</v>
      </c>
      <c r="B38" s="5" t="s">
        <v>57</v>
      </c>
      <c r="C38" s="5" t="s">
        <v>242</v>
      </c>
      <c r="D38" s="5">
        <v>2.25958200582863</v>
      </c>
      <c r="E38" s="5">
        <v>5.3023918473925298E-2</v>
      </c>
      <c r="F38" s="5">
        <v>0.17650275242126501</v>
      </c>
      <c r="G38" s="5">
        <v>2.3082935343514202E-3</v>
      </c>
      <c r="H38" s="5">
        <v>0.62830250267653298</v>
      </c>
      <c r="I38" s="6">
        <f t="shared" si="3"/>
        <v>71.333218020779398</v>
      </c>
      <c r="J38" s="7">
        <f t="shared" si="4"/>
        <v>28.666781979220602</v>
      </c>
      <c r="K38" s="3">
        <v>10</v>
      </c>
      <c r="L38" s="5">
        <v>9.2621026894743594E-2</v>
      </c>
      <c r="M38" s="5">
        <v>1.8893289637950299E-3</v>
      </c>
      <c r="N38" s="5">
        <v>5.6741744218513803</v>
      </c>
      <c r="O38" s="5">
        <v>7.2658335260086901E-2</v>
      </c>
      <c r="P38" s="5">
        <v>0.42547180508699101</v>
      </c>
      <c r="Q38" s="5">
        <v>1.48055582998674E-2</v>
      </c>
      <c r="R38" s="5">
        <v>-0.19719436472965399</v>
      </c>
      <c r="S38" s="5">
        <v>1047.56839763732</v>
      </c>
      <c r="T38" s="5">
        <v>12.6204423857493</v>
      </c>
      <c r="U38" s="5">
        <v>1468.5562024303499</v>
      </c>
      <c r="V38" s="5">
        <v>38.341631535469404</v>
      </c>
      <c r="W38" s="28">
        <v>30</v>
      </c>
      <c r="X38" s="22"/>
    </row>
    <row r="39" spans="1:24" x14ac:dyDescent="0.2">
      <c r="A39" s="1">
        <v>1</v>
      </c>
      <c r="B39" s="11" t="s">
        <v>58</v>
      </c>
      <c r="C39" s="11" t="s">
        <v>243</v>
      </c>
      <c r="D39" s="12">
        <v>2.4407940339739702</v>
      </c>
      <c r="E39" s="12">
        <v>5.6318884932697898E-2</v>
      </c>
      <c r="F39" s="12">
        <v>0.21097773734973199</v>
      </c>
      <c r="G39" s="12">
        <v>3.7807828830849401E-3</v>
      </c>
      <c r="H39" s="12">
        <v>0.57624969170859697</v>
      </c>
      <c r="I39" s="13">
        <f t="shared" si="3"/>
        <v>96.789207204275414</v>
      </c>
      <c r="J39" s="3">
        <f t="shared" si="4"/>
        <v>3.2107927957245819</v>
      </c>
      <c r="K39" s="3">
        <v>0</v>
      </c>
      <c r="L39" s="11">
        <v>8.3334531533406905E-2</v>
      </c>
      <c r="M39" s="11">
        <v>1.45936323324035E-3</v>
      </c>
      <c r="N39" s="11">
        <v>4.7480848800344102</v>
      </c>
      <c r="O39" s="11">
        <v>8.4539748465906894E-2</v>
      </c>
      <c r="P39" s="11">
        <v>1.31132030645009</v>
      </c>
      <c r="Q39" s="11">
        <v>0.15060776037166601</v>
      </c>
      <c r="R39" s="11">
        <v>0.228583121654201</v>
      </c>
      <c r="S39" s="12">
        <v>1233.33043691634</v>
      </c>
      <c r="T39" s="11">
        <v>20.1936273019219</v>
      </c>
      <c r="U39" s="12">
        <v>1274.2437638872</v>
      </c>
      <c r="V39" s="11">
        <v>33.080238232849197</v>
      </c>
      <c r="W39" s="28">
        <v>30</v>
      </c>
    </row>
    <row r="40" spans="1:24" x14ac:dyDescent="0.2">
      <c r="A40" s="1">
        <v>1</v>
      </c>
      <c r="B40" s="11" t="s">
        <v>59</v>
      </c>
      <c r="C40" s="11" t="s">
        <v>244</v>
      </c>
      <c r="D40" s="12">
        <v>3.1899193056981301</v>
      </c>
      <c r="E40" s="12">
        <v>0.114507270556021</v>
      </c>
      <c r="F40" s="12">
        <v>0.23981309983497801</v>
      </c>
      <c r="G40" s="12">
        <v>4.8306677294057401E-3</v>
      </c>
      <c r="H40" s="12">
        <v>0.20911495821613299</v>
      </c>
      <c r="I40" s="13">
        <f t="shared" si="3"/>
        <v>90.572298535561643</v>
      </c>
      <c r="J40" s="3">
        <f t="shared" si="4"/>
        <v>9.4277014644383534</v>
      </c>
      <c r="K40" s="3">
        <v>0</v>
      </c>
      <c r="L40" s="11">
        <v>9.5761115406699696E-2</v>
      </c>
      <c r="M40" s="11">
        <v>3.52380055418931E-3</v>
      </c>
      <c r="N40" s="11">
        <v>4.1848822396219596</v>
      </c>
      <c r="O40" s="11">
        <v>8.3371595228720799E-2</v>
      </c>
      <c r="P40" s="11">
        <v>1.11784299799721</v>
      </c>
      <c r="Q40" s="11">
        <v>0.111512632007762</v>
      </c>
      <c r="R40" s="11">
        <v>0.26961000004767999</v>
      </c>
      <c r="S40" s="12">
        <v>1384.646418198</v>
      </c>
      <c r="T40" s="11">
        <v>25.160281226688699</v>
      </c>
      <c r="U40" s="12">
        <v>1528.7747364105401</v>
      </c>
      <c r="V40" s="11">
        <v>71.303058819226095</v>
      </c>
      <c r="W40" s="28">
        <v>30</v>
      </c>
    </row>
    <row r="41" spans="1:24" x14ac:dyDescent="0.2">
      <c r="A41" s="1">
        <v>1</v>
      </c>
      <c r="B41" s="11" t="s">
        <v>60</v>
      </c>
      <c r="C41" s="11" t="s">
        <v>245</v>
      </c>
      <c r="D41" s="12">
        <v>3.4371152714767002</v>
      </c>
      <c r="E41" s="12">
        <v>8.4190815803040497E-2</v>
      </c>
      <c r="F41" s="12">
        <v>0.25886956732593303</v>
      </c>
      <c r="G41" s="12">
        <v>2.7579298065429198E-3</v>
      </c>
      <c r="H41" s="12">
        <v>0.240339913997205</v>
      </c>
      <c r="I41" s="13">
        <f t="shared" si="3"/>
        <v>97.792309564682128</v>
      </c>
      <c r="J41" s="3">
        <f t="shared" si="4"/>
        <v>2.2076904353178772</v>
      </c>
      <c r="K41" s="3">
        <v>0</v>
      </c>
      <c r="L41" s="11">
        <v>9.52481794583908E-2</v>
      </c>
      <c r="M41" s="11">
        <v>2.2905539566018701E-3</v>
      </c>
      <c r="N41" s="11">
        <v>3.8641121104237199</v>
      </c>
      <c r="O41" s="11">
        <v>4.1316445452698802E-2</v>
      </c>
      <c r="P41" s="11">
        <v>2.3502781569545799</v>
      </c>
      <c r="Q41" s="11">
        <v>2.7043220815231299E-2</v>
      </c>
      <c r="R41" s="11">
        <v>0.135873700905081</v>
      </c>
      <c r="S41" s="12">
        <v>1483.71937298532</v>
      </c>
      <c r="T41" s="11">
        <v>14.1201376172781</v>
      </c>
      <c r="U41" s="12">
        <v>1517.2147785342499</v>
      </c>
      <c r="V41" s="11">
        <v>45.702595313483499</v>
      </c>
      <c r="W41" s="28">
        <v>30</v>
      </c>
    </row>
    <row r="42" spans="1:24" x14ac:dyDescent="0.2">
      <c r="A42" s="1">
        <v>1</v>
      </c>
      <c r="B42" s="11" t="s">
        <v>61</v>
      </c>
      <c r="C42" s="11" t="s">
        <v>246</v>
      </c>
      <c r="D42" s="12">
        <v>3.1813519254450799</v>
      </c>
      <c r="E42" s="12">
        <v>6.0916580567705401E-2</v>
      </c>
      <c r="F42" s="12">
        <v>0.25132757755130097</v>
      </c>
      <c r="G42" s="12">
        <v>2.28282016566416E-3</v>
      </c>
      <c r="H42" s="12">
        <v>0.25248930318762203</v>
      </c>
      <c r="I42" s="13">
        <f t="shared" si="3"/>
        <v>101.49546786964849</v>
      </c>
      <c r="J42" s="3">
        <f t="shared" si="4"/>
        <v>-1.4954678696484924</v>
      </c>
      <c r="K42" s="3">
        <v>0</v>
      </c>
      <c r="L42" s="11">
        <v>9.0407895107137898E-2</v>
      </c>
      <c r="M42" s="11">
        <v>1.6987224564983E-3</v>
      </c>
      <c r="N42" s="11">
        <v>3.97761251591696</v>
      </c>
      <c r="O42" s="11">
        <v>3.7029372743719799E-2</v>
      </c>
      <c r="P42" s="11">
        <v>3.35083890018432</v>
      </c>
      <c r="Q42" s="11">
        <v>0.136610842989876</v>
      </c>
      <c r="R42" s="11">
        <v>0.296766461368281</v>
      </c>
      <c r="S42" s="12">
        <v>1445.0820540377699</v>
      </c>
      <c r="T42" s="11">
        <v>11.783588033865099</v>
      </c>
      <c r="U42" s="12">
        <v>1423.7897360044699</v>
      </c>
      <c r="V42" s="11">
        <v>36.457634133007197</v>
      </c>
      <c r="W42" s="28">
        <v>30</v>
      </c>
    </row>
    <row r="43" spans="1:24" s="5" customFormat="1" x14ac:dyDescent="0.2">
      <c r="A43" s="1">
        <v>1</v>
      </c>
      <c r="B43" s="5" t="s">
        <v>62</v>
      </c>
      <c r="C43" s="5" t="s">
        <v>247</v>
      </c>
      <c r="D43" s="5">
        <v>0.52704529532171596</v>
      </c>
      <c r="E43" s="5">
        <v>3.4473107939014203E-2</v>
      </c>
      <c r="F43" s="5">
        <v>1.5377145415986899E-2</v>
      </c>
      <c r="G43" s="5">
        <v>2.01360478522843E-4</v>
      </c>
      <c r="H43" s="5">
        <v>0.62913137429794397</v>
      </c>
      <c r="I43" s="6">
        <f t="shared" si="3"/>
        <v>3.1823904619284438</v>
      </c>
      <c r="J43" s="7">
        <f t="shared" si="4"/>
        <v>96.817609538071565</v>
      </c>
      <c r="K43" s="3">
        <v>10</v>
      </c>
      <c r="L43" s="5">
        <v>0.24444918650163699</v>
      </c>
      <c r="M43" s="5">
        <v>1.36141038595365E-2</v>
      </c>
      <c r="N43" s="5">
        <v>64.972438393542006</v>
      </c>
      <c r="O43" s="5">
        <v>0.86245965695061</v>
      </c>
      <c r="P43" s="5">
        <v>1.1265309872365901</v>
      </c>
      <c r="Q43" s="5">
        <v>0.19438241431012701</v>
      </c>
      <c r="R43" s="5">
        <v>-0.37127865714227498</v>
      </c>
      <c r="S43" s="5">
        <v>98.370237488653103</v>
      </c>
      <c r="T43" s="5">
        <v>1.27781678551226</v>
      </c>
      <c r="U43" s="5">
        <v>3091.08007535453</v>
      </c>
      <c r="V43" s="5">
        <v>84.404542307534896</v>
      </c>
      <c r="W43" s="28">
        <v>30</v>
      </c>
      <c r="X43" s="22"/>
    </row>
    <row r="44" spans="1:24" x14ac:dyDescent="0.2">
      <c r="A44" s="1">
        <v>1</v>
      </c>
      <c r="B44" s="11" t="s">
        <v>63</v>
      </c>
      <c r="C44" s="11" t="s">
        <v>248</v>
      </c>
      <c r="D44" s="12">
        <v>6.8812622304906403</v>
      </c>
      <c r="E44" s="12">
        <v>0.146824399651936</v>
      </c>
      <c r="F44" s="12">
        <v>0.38228786969558698</v>
      </c>
      <c r="G44" s="12">
        <v>4.5587300387587302E-3</v>
      </c>
      <c r="H44" s="12">
        <v>0.417045253688619</v>
      </c>
      <c r="I44" s="13">
        <f t="shared" si="3"/>
        <v>100.84758641794637</v>
      </c>
      <c r="J44" s="3">
        <f t="shared" si="4"/>
        <v>-0.84758641794637768</v>
      </c>
      <c r="K44" s="3">
        <v>0</v>
      </c>
      <c r="L44" s="11">
        <v>0.12882420100825001</v>
      </c>
      <c r="M44" s="11">
        <v>2.5104106405236999E-3</v>
      </c>
      <c r="N44" s="11">
        <v>2.6066350874991899</v>
      </c>
      <c r="O44" s="11">
        <v>2.9763378127131701E-2</v>
      </c>
      <c r="P44" s="11">
        <v>0.96058018845812698</v>
      </c>
      <c r="Q44" s="11">
        <v>8.2930662672056205E-3</v>
      </c>
      <c r="R44" s="11">
        <v>0.14107781754086501</v>
      </c>
      <c r="S44" s="12">
        <v>2089.9259179174301</v>
      </c>
      <c r="T44" s="11">
        <v>19.954778137783901</v>
      </c>
      <c r="U44" s="12">
        <v>2072.3608686637999</v>
      </c>
      <c r="V44" s="11">
        <v>34.716549134660397</v>
      </c>
      <c r="W44" s="28">
        <v>30</v>
      </c>
    </row>
    <row r="45" spans="1:24" x14ac:dyDescent="0.2">
      <c r="A45" s="1">
        <v>1</v>
      </c>
      <c r="B45" s="11" t="s">
        <v>64</v>
      </c>
      <c r="C45" s="11" t="s">
        <v>249</v>
      </c>
      <c r="D45" s="12">
        <v>2.8884348383074698</v>
      </c>
      <c r="E45" s="12">
        <v>0.1524889597288</v>
      </c>
      <c r="F45" s="12">
        <v>0.230109712836258</v>
      </c>
      <c r="G45" s="12">
        <v>4.2960888456071E-3</v>
      </c>
      <c r="H45" s="12">
        <v>-1.2610487711320799E-2</v>
      </c>
      <c r="I45" s="13">
        <f t="shared" si="3"/>
        <v>96.492474601555941</v>
      </c>
      <c r="J45" s="3">
        <f t="shared" si="4"/>
        <v>3.5075253984440558</v>
      </c>
      <c r="K45" s="3">
        <v>0</v>
      </c>
      <c r="L45" s="11">
        <v>8.9451446288323994E-2</v>
      </c>
      <c r="M45" s="11">
        <v>4.7467359762305098E-3</v>
      </c>
      <c r="N45" s="11">
        <v>4.35679499592427</v>
      </c>
      <c r="O45" s="11">
        <v>8.6672285673365504E-2</v>
      </c>
      <c r="P45" s="11">
        <v>2.14734720805202</v>
      </c>
      <c r="Q45" s="11">
        <v>3.9920722272474701E-2</v>
      </c>
      <c r="R45" s="11">
        <v>0.35345950310846302</v>
      </c>
      <c r="S45" s="12">
        <v>1334.2095108470101</v>
      </c>
      <c r="T45" s="11">
        <v>22.509534836855099</v>
      </c>
      <c r="U45" s="12">
        <v>1382.7083576790101</v>
      </c>
      <c r="V45" s="11">
        <v>105.29587247604999</v>
      </c>
      <c r="W45" s="28">
        <v>30</v>
      </c>
    </row>
    <row r="46" spans="1:24" x14ac:dyDescent="0.2">
      <c r="A46" s="1">
        <v>1</v>
      </c>
      <c r="B46" s="11" t="s">
        <v>65</v>
      </c>
      <c r="C46" s="11" t="s">
        <v>250</v>
      </c>
      <c r="D46" s="12">
        <v>3.4097321653092298</v>
      </c>
      <c r="E46" s="12">
        <v>0.13042902167897899</v>
      </c>
      <c r="F46" s="12">
        <v>0.25055004628737998</v>
      </c>
      <c r="G46" s="12">
        <v>3.3215379910777501E-3</v>
      </c>
      <c r="H46" s="12">
        <v>0.241601518923939</v>
      </c>
      <c r="I46" s="13">
        <f t="shared" si="3"/>
        <v>92.602601093618063</v>
      </c>
      <c r="J46" s="3">
        <f t="shared" si="4"/>
        <v>7.3973989063819356</v>
      </c>
      <c r="K46" s="3">
        <v>0</v>
      </c>
      <c r="L46" s="11">
        <v>9.8136517968850506E-2</v>
      </c>
      <c r="M46" s="11">
        <v>3.6393104197509499E-3</v>
      </c>
      <c r="N46" s="11">
        <v>3.99801688520686</v>
      </c>
      <c r="O46" s="11">
        <v>5.3196145813592902E-2</v>
      </c>
      <c r="P46" s="11">
        <v>0.69664872511143605</v>
      </c>
      <c r="Q46" s="11">
        <v>2.9333373440405701E-2</v>
      </c>
      <c r="R46" s="11">
        <v>5.70879372837148E-2</v>
      </c>
      <c r="S46" s="12">
        <v>1440.8118587387601</v>
      </c>
      <c r="T46" s="11">
        <v>17.1158010195375</v>
      </c>
      <c r="U46" s="12">
        <v>1555.9086264565599</v>
      </c>
      <c r="V46" s="11">
        <v>65.290064204428305</v>
      </c>
      <c r="W46" s="28">
        <v>30</v>
      </c>
    </row>
    <row r="47" spans="1:24" s="5" customFormat="1" x14ac:dyDescent="0.2">
      <c r="A47" s="1">
        <v>1</v>
      </c>
      <c r="B47" s="5" t="s">
        <v>66</v>
      </c>
      <c r="C47" s="5" t="s">
        <v>251</v>
      </c>
      <c r="D47" s="5">
        <v>2.95470619953297</v>
      </c>
      <c r="E47" s="5">
        <v>8.6850686310031303E-2</v>
      </c>
      <c r="F47" s="5">
        <v>0.19962628899037499</v>
      </c>
      <c r="G47" s="5">
        <v>2.07944984622773E-3</v>
      </c>
      <c r="H47" s="5">
        <v>0.197879252713587</v>
      </c>
      <c r="I47" s="6">
        <f t="shared" si="3"/>
        <v>68.861922476380002</v>
      </c>
      <c r="J47" s="7">
        <f t="shared" si="4"/>
        <v>31.138077523620002</v>
      </c>
      <c r="K47" s="3">
        <v>10</v>
      </c>
      <c r="L47" s="5">
        <v>0.105671025770849</v>
      </c>
      <c r="M47" s="5">
        <v>3.11183258597635E-3</v>
      </c>
      <c r="N47" s="5">
        <v>5.0104735302041004</v>
      </c>
      <c r="O47" s="5">
        <v>5.2476792922979403E-2</v>
      </c>
      <c r="P47" s="5">
        <v>0.21137769906588499</v>
      </c>
      <c r="Q47" s="5">
        <v>3.11955069712572E-3</v>
      </c>
      <c r="R47" s="5">
        <v>0.23525812915417099</v>
      </c>
      <c r="S47" s="5">
        <v>1173.0993929389799</v>
      </c>
      <c r="T47" s="5">
        <v>11.173335735037901</v>
      </c>
      <c r="U47" s="5">
        <v>1703.5530678676</v>
      </c>
      <c r="V47" s="5">
        <v>54.447572559919301</v>
      </c>
      <c r="W47" s="28">
        <v>30</v>
      </c>
      <c r="X47" s="22"/>
    </row>
    <row r="48" spans="1:24" s="5" customFormat="1" x14ac:dyDescent="0.2">
      <c r="A48" s="1">
        <v>1</v>
      </c>
      <c r="B48" s="5" t="s">
        <v>67</v>
      </c>
      <c r="C48" s="5" t="s">
        <v>252</v>
      </c>
      <c r="D48" s="5">
        <v>2.5130287790986601</v>
      </c>
      <c r="E48" s="5">
        <v>9.2650411066974303E-2</v>
      </c>
      <c r="F48" s="5">
        <v>0.20474392165934399</v>
      </c>
      <c r="G48" s="5">
        <v>2.9747218736905002E-3</v>
      </c>
      <c r="H48" s="5">
        <v>0.14637145318033301</v>
      </c>
      <c r="I48" s="6">
        <f t="shared" si="3"/>
        <v>89.135477240415895</v>
      </c>
      <c r="J48" s="7">
        <f t="shared" si="4"/>
        <v>10.864522759584105</v>
      </c>
      <c r="K48" s="3">
        <v>10</v>
      </c>
      <c r="L48" s="5">
        <v>8.8241391567739996E-2</v>
      </c>
      <c r="M48" s="5">
        <v>3.3218814265713499E-3</v>
      </c>
      <c r="N48" s="5">
        <v>4.8956126537999403</v>
      </c>
      <c r="O48" s="5">
        <v>7.01328625016584E-2</v>
      </c>
      <c r="P48" s="5">
        <v>2.4943594544717</v>
      </c>
      <c r="Q48" s="5">
        <v>3.6552267704472403E-2</v>
      </c>
      <c r="R48" s="5">
        <v>0.228202780903457</v>
      </c>
      <c r="S48" s="5">
        <v>1200.3282349272199</v>
      </c>
      <c r="T48" s="5">
        <v>15.883498561579399</v>
      </c>
      <c r="U48" s="5">
        <v>1346.6335426574301</v>
      </c>
      <c r="V48" s="5">
        <v>77.011758314951805</v>
      </c>
      <c r="W48" s="28">
        <v>30</v>
      </c>
      <c r="X48" s="22"/>
    </row>
    <row r="49" spans="1:24" s="5" customFormat="1" x14ac:dyDescent="0.2">
      <c r="A49" s="1">
        <v>1</v>
      </c>
      <c r="B49" s="5" t="s">
        <v>68</v>
      </c>
      <c r="C49" s="5" t="s">
        <v>253</v>
      </c>
      <c r="D49" s="5">
        <v>4.4864172209675299</v>
      </c>
      <c r="E49" s="5">
        <v>9.2019950779638301E-2</v>
      </c>
      <c r="F49" s="5">
        <v>0.27725155737809398</v>
      </c>
      <c r="G49" s="5">
        <v>4.0418478397170202E-3</v>
      </c>
      <c r="H49" s="5">
        <v>0.65620480164212203</v>
      </c>
      <c r="I49" s="6">
        <f t="shared" si="3"/>
        <v>83.519147993976588</v>
      </c>
      <c r="J49" s="7">
        <f t="shared" si="4"/>
        <v>16.480852006023415</v>
      </c>
      <c r="K49" s="3">
        <v>10</v>
      </c>
      <c r="L49" s="5">
        <v>0.115987819545451</v>
      </c>
      <c r="M49" s="5">
        <v>1.89621266806637E-3</v>
      </c>
      <c r="N49" s="5">
        <v>3.6151588977507401</v>
      </c>
      <c r="O49" s="5">
        <v>5.0520352159700403E-2</v>
      </c>
      <c r="P49" s="5">
        <v>1.72600743152727</v>
      </c>
      <c r="Q49" s="5">
        <v>9.2437332672403894E-2</v>
      </c>
      <c r="R49" s="5">
        <v>0.17732950578283899</v>
      </c>
      <c r="S49" s="5">
        <v>1576.80057871844</v>
      </c>
      <c r="T49" s="5">
        <v>20.291263586242099</v>
      </c>
      <c r="U49" s="5">
        <v>1887.95098679905</v>
      </c>
      <c r="V49" s="5">
        <v>29.7764491982138</v>
      </c>
      <c r="W49" s="28">
        <v>30</v>
      </c>
      <c r="X49" s="22"/>
    </row>
    <row r="50" spans="1:24" s="5" customFormat="1" x14ac:dyDescent="0.2">
      <c r="A50" s="1">
        <v>1</v>
      </c>
      <c r="B50" s="5" t="s">
        <v>69</v>
      </c>
      <c r="C50" s="5" t="s">
        <v>254</v>
      </c>
      <c r="D50" s="5">
        <v>3.7257092370549301</v>
      </c>
      <c r="E50" s="5">
        <v>0.463740493117414</v>
      </c>
      <c r="F50" s="5">
        <v>0.20544712342976901</v>
      </c>
      <c r="G50" s="5">
        <v>9.7549950536522899E-3</v>
      </c>
      <c r="H50" s="5">
        <v>0.82296204513229398</v>
      </c>
      <c r="I50" s="6">
        <f t="shared" si="3"/>
        <v>60.168899273423612</v>
      </c>
      <c r="J50" s="7">
        <f t="shared" si="4"/>
        <v>39.831100726576388</v>
      </c>
      <c r="K50" s="3">
        <v>10</v>
      </c>
      <c r="L50" s="5">
        <v>0.12719007622057801</v>
      </c>
      <c r="M50" s="5">
        <v>9.7824211229173702E-3</v>
      </c>
      <c r="N50" s="5">
        <v>5.0404269040682399</v>
      </c>
      <c r="O50" s="5">
        <v>0.25616655775776198</v>
      </c>
      <c r="P50" s="5">
        <v>0.443033647011918</v>
      </c>
      <c r="Q50" s="5">
        <v>4.50225762412544E-2</v>
      </c>
      <c r="R50" s="5">
        <v>-0.44514442221217898</v>
      </c>
      <c r="S50" s="5">
        <v>1199.9126250945701</v>
      </c>
      <c r="T50" s="5">
        <v>51.8434528304061</v>
      </c>
      <c r="U50" s="5">
        <v>1994.2406119843499</v>
      </c>
      <c r="V50" s="5">
        <v>125.44611133119</v>
      </c>
      <c r="W50" s="28">
        <v>30</v>
      </c>
      <c r="X50" s="22"/>
    </row>
    <row r="51" spans="1:24" s="5" customFormat="1" x14ac:dyDescent="0.2">
      <c r="A51" s="1">
        <v>1</v>
      </c>
      <c r="B51" s="5" t="s">
        <v>70</v>
      </c>
      <c r="C51" s="5" t="s">
        <v>255</v>
      </c>
      <c r="D51" s="5">
        <v>3.0278136966579901</v>
      </c>
      <c r="E51" s="5">
        <v>7.4642331498096501E-2</v>
      </c>
      <c r="F51" s="5">
        <v>0.23045648191002099</v>
      </c>
      <c r="G51" s="5">
        <v>3.29956562333942E-3</v>
      </c>
      <c r="H51" s="5">
        <v>0.26162919397453999</v>
      </c>
      <c r="I51" s="6">
        <f t="shared" si="3"/>
        <v>89.419091536647372</v>
      </c>
      <c r="J51" s="7">
        <f t="shared" si="4"/>
        <v>10.580908463352623</v>
      </c>
      <c r="K51" s="3">
        <v>10</v>
      </c>
      <c r="L51" s="5">
        <v>9.3709213570965899E-2</v>
      </c>
      <c r="M51" s="5">
        <v>2.1771874500243998E-3</v>
      </c>
      <c r="N51" s="5">
        <v>4.3397094981205599</v>
      </c>
      <c r="O51" s="5">
        <v>6.5609830760562898E-2</v>
      </c>
      <c r="P51" s="5">
        <v>0.94104934477038404</v>
      </c>
      <c r="Q51" s="5">
        <v>5.2562708945386699E-2</v>
      </c>
      <c r="R51" s="5">
        <v>0.30566495560212098</v>
      </c>
      <c r="S51" s="5">
        <v>1336.38671539745</v>
      </c>
      <c r="T51" s="5">
        <v>17.294148106396399</v>
      </c>
      <c r="U51" s="5">
        <v>1494.52056874202</v>
      </c>
      <c r="V51" s="5">
        <v>46.433804349133098</v>
      </c>
      <c r="W51" s="28">
        <v>30</v>
      </c>
      <c r="X51" s="22"/>
    </row>
    <row r="52" spans="1:24" x14ac:dyDescent="0.2">
      <c r="A52" s="1">
        <v>1</v>
      </c>
      <c r="B52" s="11" t="s">
        <v>71</v>
      </c>
      <c r="C52" s="11" t="s">
        <v>256</v>
      </c>
      <c r="D52" s="12">
        <v>3.1945559614326999</v>
      </c>
      <c r="E52" s="12">
        <v>8.7845825111011897E-2</v>
      </c>
      <c r="F52" s="12">
        <v>0.24606572872108701</v>
      </c>
      <c r="G52" s="12">
        <v>3.2963763399712102E-3</v>
      </c>
      <c r="H52" s="12">
        <v>6.9571691606229794E-2</v>
      </c>
      <c r="I52" s="13">
        <f t="shared" si="3"/>
        <v>95.960338842552488</v>
      </c>
      <c r="J52" s="3">
        <f t="shared" si="4"/>
        <v>4.0396611574475045</v>
      </c>
      <c r="K52" s="3">
        <v>0</v>
      </c>
      <c r="L52" s="11">
        <v>9.2619256968462099E-2</v>
      </c>
      <c r="M52" s="11">
        <v>2.5959441494744001E-3</v>
      </c>
      <c r="N52" s="11">
        <v>4.0537842559192203</v>
      </c>
      <c r="O52" s="11">
        <v>5.4296471778717E-2</v>
      </c>
      <c r="P52" s="11">
        <v>1.80941970623462</v>
      </c>
      <c r="Q52" s="11">
        <v>9.8047656522468704E-2</v>
      </c>
      <c r="R52" s="11">
        <v>0.38945761593665301</v>
      </c>
      <c r="S52" s="12">
        <v>1417.65828677635</v>
      </c>
      <c r="T52" s="11">
        <v>17.0468956980766</v>
      </c>
      <c r="U52" s="12">
        <v>1477.33772501823</v>
      </c>
      <c r="V52" s="11">
        <v>54.279137131166699</v>
      </c>
      <c r="W52" s="28">
        <v>30</v>
      </c>
    </row>
    <row r="53" spans="1:24" s="5" customFormat="1" x14ac:dyDescent="0.2">
      <c r="A53" s="1">
        <v>1</v>
      </c>
      <c r="B53" s="5" t="s">
        <v>72</v>
      </c>
      <c r="C53" s="5" t="s">
        <v>257</v>
      </c>
      <c r="D53" s="5">
        <v>4.0106797757130801</v>
      </c>
      <c r="E53" s="5">
        <v>0.24084519155214701</v>
      </c>
      <c r="F53" s="5">
        <v>0.253740196453421</v>
      </c>
      <c r="G53" s="5">
        <v>4.3841095410679098E-3</v>
      </c>
      <c r="H53" s="5">
        <v>0.42139192962114203</v>
      </c>
      <c r="I53" s="6">
        <f t="shared" si="3"/>
        <v>80.532138082861678</v>
      </c>
      <c r="J53" s="7">
        <f t="shared" si="4"/>
        <v>19.467861917138318</v>
      </c>
      <c r="K53" s="3">
        <v>10</v>
      </c>
      <c r="L53" s="5">
        <v>0.11317771732281599</v>
      </c>
      <c r="M53" s="5">
        <v>6.2384505037110299E-3</v>
      </c>
      <c r="N53" s="5">
        <v>3.94521945416755</v>
      </c>
      <c r="O53" s="5">
        <v>6.58653775040655E-2</v>
      </c>
      <c r="P53" s="5">
        <v>1.8857107906350401</v>
      </c>
      <c r="Q53" s="5">
        <v>6.2789735333907595E-2</v>
      </c>
      <c r="R53" s="5">
        <v>-0.21022408093398001</v>
      </c>
      <c r="S53" s="5">
        <v>1456.87691347686</v>
      </c>
      <c r="T53" s="5">
        <v>22.572659484352599</v>
      </c>
      <c r="U53" s="5">
        <v>1809.0627520380001</v>
      </c>
      <c r="V53" s="5">
        <v>96.879712390776106</v>
      </c>
      <c r="W53" s="28">
        <v>30</v>
      </c>
      <c r="X53" s="22"/>
    </row>
    <row r="54" spans="1:24" s="5" customFormat="1" x14ac:dyDescent="0.2">
      <c r="A54" s="1">
        <v>1</v>
      </c>
      <c r="B54" s="5" t="s">
        <v>73</v>
      </c>
      <c r="C54" s="5" t="s">
        <v>258</v>
      </c>
      <c r="D54" s="5">
        <v>2.7048099685353999</v>
      </c>
      <c r="E54" s="5">
        <v>0.12523404446419201</v>
      </c>
      <c r="F54" s="5">
        <v>0.21300402372344401</v>
      </c>
      <c r="G54" s="5">
        <v>3.5639764411046601E-3</v>
      </c>
      <c r="H54" s="5">
        <v>0.33037949835312902</v>
      </c>
      <c r="I54" s="6">
        <f t="shared" si="3"/>
        <v>88.53851164181242</v>
      </c>
      <c r="J54" s="7">
        <f t="shared" si="4"/>
        <v>11.461488358187577</v>
      </c>
      <c r="K54" s="3">
        <v>10</v>
      </c>
      <c r="L54" s="5">
        <v>8.9910112531688596E-2</v>
      </c>
      <c r="M54" s="5">
        <v>3.68396049797184E-3</v>
      </c>
      <c r="N54" s="5">
        <v>4.6986674181019001</v>
      </c>
      <c r="O54" s="5">
        <v>7.8817302558278096E-2</v>
      </c>
      <c r="P54" s="5">
        <v>0.42018671761738202</v>
      </c>
      <c r="Q54" s="5">
        <v>4.0085797720767202E-2</v>
      </c>
      <c r="R54" s="5">
        <v>4.0289518858654802E-3</v>
      </c>
      <c r="S54" s="5">
        <v>1244.1954088599</v>
      </c>
      <c r="T54" s="5">
        <v>18.8211353242447</v>
      </c>
      <c r="U54" s="5">
        <v>1405.2590062653901</v>
      </c>
      <c r="V54" s="5">
        <v>83.577415267647396</v>
      </c>
      <c r="W54" s="28">
        <v>30</v>
      </c>
      <c r="X54" s="22"/>
    </row>
    <row r="55" spans="1:24" ht="16" x14ac:dyDescent="0.2">
      <c r="A55" s="11">
        <v>2</v>
      </c>
      <c r="B55" s="24" t="s">
        <v>89</v>
      </c>
      <c r="C55" s="24" t="s">
        <v>477</v>
      </c>
      <c r="D55" s="25">
        <v>2.84116520717834</v>
      </c>
      <c r="E55" s="25">
        <v>6.0807642634262402E-2</v>
      </c>
      <c r="F55" s="25">
        <v>0.231700732957484</v>
      </c>
      <c r="G55" s="25">
        <v>2.5082841930270101E-3</v>
      </c>
      <c r="H55" s="25">
        <v>0.34233637702442399</v>
      </c>
      <c r="I55" s="13">
        <f t="shared" si="3"/>
        <v>97.424695023715557</v>
      </c>
      <c r="J55" s="3">
        <f t="shared" si="4"/>
        <v>2.5753049762844427</v>
      </c>
      <c r="K55" s="3">
        <v>0</v>
      </c>
      <c r="L55" s="24">
        <v>8.8746074729222496E-2</v>
      </c>
      <c r="M55" s="24">
        <v>1.8337684255800399E-3</v>
      </c>
      <c r="N55" s="24">
        <v>4.3266390844939897</v>
      </c>
      <c r="O55" s="24">
        <v>4.8779730130380297E-2</v>
      </c>
      <c r="P55" s="24">
        <v>2.6407902403870098</v>
      </c>
      <c r="Q55" s="24">
        <v>0.17083651691857399</v>
      </c>
      <c r="R55" s="24">
        <v>0.113687816311074</v>
      </c>
      <c r="S55" s="25">
        <v>1342.90336145117</v>
      </c>
      <c r="T55" s="25">
        <v>13.163697811587101</v>
      </c>
      <c r="U55" s="25">
        <v>1378.4014013328699</v>
      </c>
      <c r="V55" s="25">
        <v>39.796553456388402</v>
      </c>
      <c r="W55" s="28">
        <v>50</v>
      </c>
    </row>
    <row r="56" spans="1:24" ht="16" x14ac:dyDescent="0.2">
      <c r="A56" s="11">
        <v>2</v>
      </c>
      <c r="B56" s="24" t="s">
        <v>91</v>
      </c>
      <c r="C56" s="24" t="s">
        <v>478</v>
      </c>
      <c r="D56" s="25">
        <v>2.4597362264693801</v>
      </c>
      <c r="E56" s="25">
        <v>4.5871839137261901E-2</v>
      </c>
      <c r="F56" s="25">
        <v>0.21293447165094101</v>
      </c>
      <c r="G56" s="25">
        <v>1.8349470711639701E-3</v>
      </c>
      <c r="H56" s="25">
        <v>0.35560051674140303</v>
      </c>
      <c r="I56" s="13">
        <f t="shared" si="3"/>
        <v>97.802090030331073</v>
      </c>
      <c r="J56" s="3">
        <f t="shared" si="4"/>
        <v>2.1979099696689319</v>
      </c>
      <c r="K56" s="3">
        <v>0</v>
      </c>
      <c r="L56" s="24">
        <v>8.3634408026571294E-2</v>
      </c>
      <c r="M56" s="24">
        <v>1.52546831900962E-3</v>
      </c>
      <c r="N56" s="24">
        <v>4.6947770733366196</v>
      </c>
      <c r="O56" s="24">
        <v>4.08536024620628E-2</v>
      </c>
      <c r="P56" s="24">
        <v>1.5281976275039899</v>
      </c>
      <c r="Q56" s="24">
        <v>0.16303989124589</v>
      </c>
      <c r="R56" s="24">
        <v>8.5824355097188304E-2</v>
      </c>
      <c r="S56" s="25">
        <v>1244.15663340068</v>
      </c>
      <c r="T56" s="25">
        <v>9.7351653581307396</v>
      </c>
      <c r="U56" s="25">
        <v>1272.1166112246001</v>
      </c>
      <c r="V56" s="25">
        <v>35.093705928921999</v>
      </c>
      <c r="W56" s="28">
        <v>50</v>
      </c>
    </row>
    <row r="57" spans="1:24" s="5" customFormat="1" ht="16" x14ac:dyDescent="0.2">
      <c r="A57" s="11">
        <v>2</v>
      </c>
      <c r="B57" s="26" t="s">
        <v>92</v>
      </c>
      <c r="C57" s="26" t="s">
        <v>479</v>
      </c>
      <c r="D57" s="26">
        <v>2.38370745832797</v>
      </c>
      <c r="E57" s="26">
        <v>0.267507192834394</v>
      </c>
      <c r="F57" s="26">
        <v>0.13783952637348701</v>
      </c>
      <c r="G57" s="26">
        <v>2.41949064025376E-3</v>
      </c>
      <c r="H57" s="26">
        <v>0.88870092078856</v>
      </c>
      <c r="I57" s="6">
        <f t="shared" si="3"/>
        <v>43.917057253781778</v>
      </c>
      <c r="J57" s="7">
        <f t="shared" si="4"/>
        <v>56.082942746218222</v>
      </c>
      <c r="K57" s="3">
        <v>10</v>
      </c>
      <c r="L57" s="26">
        <v>0.122356418598544</v>
      </c>
      <c r="M57" s="26">
        <v>1.12265057634295E-2</v>
      </c>
      <c r="N57" s="26">
        <v>7.25259490817737</v>
      </c>
      <c r="O57" s="26">
        <v>0.12857748223132601</v>
      </c>
      <c r="P57" s="26">
        <v>0.70485085868422104</v>
      </c>
      <c r="Q57" s="26">
        <v>2.1563672167873301E-2</v>
      </c>
      <c r="R57" s="26">
        <v>-0.82297882788500298</v>
      </c>
      <c r="S57" s="26">
        <v>832.19834171761499</v>
      </c>
      <c r="T57" s="26">
        <v>13.6560631410157</v>
      </c>
      <c r="U57" s="26">
        <v>1894.93193250318</v>
      </c>
      <c r="V57" s="26">
        <v>147.25630305399801</v>
      </c>
      <c r="W57" s="28">
        <v>50</v>
      </c>
      <c r="X57" s="22"/>
    </row>
    <row r="58" spans="1:24" ht="16" x14ac:dyDescent="0.2">
      <c r="A58" s="11">
        <v>2</v>
      </c>
      <c r="B58" s="24" t="s">
        <v>93</v>
      </c>
      <c r="C58" s="24" t="s">
        <v>481</v>
      </c>
      <c r="D58" s="25">
        <v>2.9139020037357302</v>
      </c>
      <c r="E58" s="25">
        <v>6.7561157104821495E-2</v>
      </c>
      <c r="F58" s="25">
        <v>0.235067093560652</v>
      </c>
      <c r="G58" s="25">
        <v>2.2897222182982901E-3</v>
      </c>
      <c r="H58" s="25">
        <v>0.32252501858358801</v>
      </c>
      <c r="I58" s="13">
        <f t="shared" si="3"/>
        <v>95.971395527922056</v>
      </c>
      <c r="J58" s="3">
        <f t="shared" si="4"/>
        <v>4.0286044720779461</v>
      </c>
      <c r="K58" s="3">
        <v>0</v>
      </c>
      <c r="L58" s="24">
        <v>9.04857135911145E-2</v>
      </c>
      <c r="M58" s="24">
        <v>2.0622416531120599E-3</v>
      </c>
      <c r="N58" s="24">
        <v>4.2493849276432503</v>
      </c>
      <c r="O58" s="24">
        <v>4.27107189179265E-2</v>
      </c>
      <c r="P58" s="24">
        <v>3.9634244250204</v>
      </c>
      <c r="Q58" s="24">
        <v>4.6491182550935199E-2</v>
      </c>
      <c r="R58" s="24">
        <v>0.106377805117714</v>
      </c>
      <c r="S58" s="25">
        <v>1360.58116492062</v>
      </c>
      <c r="T58" s="25">
        <v>11.989667335191101</v>
      </c>
      <c r="U58" s="25">
        <v>1417.6944676445501</v>
      </c>
      <c r="V58" s="25">
        <v>41.794452444255597</v>
      </c>
      <c r="W58" s="28">
        <v>50</v>
      </c>
    </row>
    <row r="59" spans="1:24" ht="16" x14ac:dyDescent="0.2">
      <c r="A59" s="11">
        <v>2</v>
      </c>
      <c r="B59" s="24" t="s">
        <v>94</v>
      </c>
      <c r="C59" s="24" t="s">
        <v>483</v>
      </c>
      <c r="D59" s="25">
        <v>2.4501394005038102</v>
      </c>
      <c r="E59" s="25">
        <v>5.60216846603823E-2</v>
      </c>
      <c r="F59" s="25">
        <v>0.21708179917583401</v>
      </c>
      <c r="G59" s="25">
        <v>1.79989577819E-3</v>
      </c>
      <c r="H59" s="25">
        <v>0.27422174054992698</v>
      </c>
      <c r="I59" s="13">
        <f t="shared" si="3"/>
        <v>103.52134781272646</v>
      </c>
      <c r="J59" s="3">
        <f t="shared" si="4"/>
        <v>-3.5213478127264608</v>
      </c>
      <c r="K59" s="3">
        <v>0</v>
      </c>
      <c r="L59" s="24">
        <v>8.2192871191745204E-2</v>
      </c>
      <c r="M59" s="24">
        <v>1.91599128820901E-3</v>
      </c>
      <c r="N59" s="24">
        <v>4.6044020716087903</v>
      </c>
      <c r="O59" s="24">
        <v>3.8914346030783802E-2</v>
      </c>
      <c r="P59" s="24">
        <v>2.3800414343947098</v>
      </c>
      <c r="Q59" s="24">
        <v>2.6806574860354499E-2</v>
      </c>
      <c r="R59" s="24">
        <v>8.8782480797206006E-2</v>
      </c>
      <c r="S59" s="25">
        <v>1266.1712614698199</v>
      </c>
      <c r="T59" s="25">
        <v>9.5213339794831899</v>
      </c>
      <c r="U59" s="25">
        <v>1223.10160002975</v>
      </c>
      <c r="V59" s="25">
        <v>46.465459418735797</v>
      </c>
      <c r="W59" s="28">
        <v>50</v>
      </c>
    </row>
    <row r="60" spans="1:24" ht="16" x14ac:dyDescent="0.2">
      <c r="A60" s="11">
        <v>2</v>
      </c>
      <c r="B60" s="24" t="s">
        <v>95</v>
      </c>
      <c r="C60" s="24" t="s">
        <v>484</v>
      </c>
      <c r="D60" s="25">
        <v>2.7007066123747099</v>
      </c>
      <c r="E60" s="25">
        <v>8.9592448381048406E-2</v>
      </c>
      <c r="F60" s="25">
        <v>0.22801871705634699</v>
      </c>
      <c r="G60" s="25">
        <v>2.8886365190123301E-3</v>
      </c>
      <c r="H60" s="25">
        <v>8.8922025143144207E-2</v>
      </c>
      <c r="I60" s="13">
        <f t="shared" si="3"/>
        <v>100.56491242205492</v>
      </c>
      <c r="J60" s="3">
        <f t="shared" si="4"/>
        <v>-0.56491242205491954</v>
      </c>
      <c r="K60" s="3">
        <v>0</v>
      </c>
      <c r="L60" s="24">
        <v>8.6458676260602205E-2</v>
      </c>
      <c r="M60" s="24">
        <v>2.9796204172301299E-3</v>
      </c>
      <c r="N60" s="24">
        <v>4.3943849102146704</v>
      </c>
      <c r="O60" s="24">
        <v>5.2949679349094801E-2</v>
      </c>
      <c r="P60" s="24">
        <v>2.3591070864734101</v>
      </c>
      <c r="Q60" s="24">
        <v>2.87851153129896E-2</v>
      </c>
      <c r="R60" s="24">
        <v>0.26011378759286202</v>
      </c>
      <c r="S60" s="25">
        <v>1323.43541327299</v>
      </c>
      <c r="T60" s="25">
        <v>15.133556491217201</v>
      </c>
      <c r="U60" s="25">
        <v>1316.00115925</v>
      </c>
      <c r="V60" s="25">
        <v>67.496210142268197</v>
      </c>
      <c r="W60" s="28">
        <v>50</v>
      </c>
    </row>
    <row r="61" spans="1:24" ht="16" x14ac:dyDescent="0.2">
      <c r="A61" s="11">
        <v>2</v>
      </c>
      <c r="B61" s="24" t="s">
        <v>96</v>
      </c>
      <c r="C61" s="24" t="s">
        <v>486</v>
      </c>
      <c r="D61" s="25">
        <v>5.7010361916794201</v>
      </c>
      <c r="E61" s="25">
        <v>0.10870122594807501</v>
      </c>
      <c r="F61" s="25">
        <v>0.33791586315223698</v>
      </c>
      <c r="G61" s="25">
        <v>2.7709940418073902E-3</v>
      </c>
      <c r="H61" s="25">
        <v>0.25252567441197199</v>
      </c>
      <c r="I61" s="13">
        <f t="shared" si="3"/>
        <v>94.407372529148034</v>
      </c>
      <c r="J61" s="3">
        <f t="shared" si="4"/>
        <v>5.592627470851963</v>
      </c>
      <c r="K61" s="3">
        <v>0</v>
      </c>
      <c r="L61" s="24">
        <v>0.122882699986884</v>
      </c>
      <c r="M61" s="24">
        <v>2.42091919942005E-3</v>
      </c>
      <c r="N61" s="24">
        <v>2.9575186335586601</v>
      </c>
      <c r="O61" s="24">
        <v>2.54212895629401E-2</v>
      </c>
      <c r="P61" s="24">
        <v>1.3419914238858199</v>
      </c>
      <c r="Q61" s="24">
        <v>1.32845246201532E-2</v>
      </c>
      <c r="R61" s="24">
        <v>0.18610907717918401</v>
      </c>
      <c r="S61" s="25">
        <v>1876.1503467980001</v>
      </c>
      <c r="T61" s="25">
        <v>13.3770831246255</v>
      </c>
      <c r="U61" s="25">
        <v>1987.29219608219</v>
      </c>
      <c r="V61" s="25">
        <v>35.442600334753102</v>
      </c>
      <c r="W61" s="28">
        <v>50</v>
      </c>
    </row>
    <row r="62" spans="1:24" s="5" customFormat="1" ht="16" x14ac:dyDescent="0.2">
      <c r="A62" s="11">
        <v>2</v>
      </c>
      <c r="B62" s="26" t="s">
        <v>97</v>
      </c>
      <c r="C62" s="26" t="s">
        <v>491</v>
      </c>
      <c r="D62" s="26">
        <v>3.9529592208195599</v>
      </c>
      <c r="E62" s="26">
        <v>0.104444158850757</v>
      </c>
      <c r="F62" s="26">
        <v>0.25634100094004397</v>
      </c>
      <c r="G62" s="26">
        <v>2.1309838750356398E-3</v>
      </c>
      <c r="H62" s="26">
        <v>0.212960037840497</v>
      </c>
      <c r="I62" s="6">
        <f t="shared" si="3"/>
        <v>81.331296233444377</v>
      </c>
      <c r="J62" s="7">
        <f t="shared" si="4"/>
        <v>18.668703766555627</v>
      </c>
      <c r="K62" s="3">
        <v>10</v>
      </c>
      <c r="L62" s="26">
        <v>0.11187672256039501</v>
      </c>
      <c r="M62" s="26">
        <v>2.82497205819937E-3</v>
      </c>
      <c r="N62" s="26">
        <v>3.90304703102096</v>
      </c>
      <c r="O62" s="26">
        <v>3.20919156482177E-2</v>
      </c>
      <c r="P62" s="26">
        <v>1.7611298653207601</v>
      </c>
      <c r="Q62" s="26">
        <v>2.3121918809177199E-2</v>
      </c>
      <c r="R62" s="26">
        <v>0.11128476733147399</v>
      </c>
      <c r="S62" s="26">
        <v>1470.7521080056499</v>
      </c>
      <c r="T62" s="26">
        <v>10.916716096048599</v>
      </c>
      <c r="U62" s="26">
        <v>1808.34706455946</v>
      </c>
      <c r="V62" s="26">
        <v>47.302086397583501</v>
      </c>
      <c r="W62" s="28">
        <v>50</v>
      </c>
      <c r="X62" s="22"/>
    </row>
    <row r="63" spans="1:24" ht="16" x14ac:dyDescent="0.2">
      <c r="A63" s="11">
        <v>2</v>
      </c>
      <c r="B63" s="24" t="s">
        <v>98</v>
      </c>
      <c r="C63" s="24" t="s">
        <v>494</v>
      </c>
      <c r="D63" s="25">
        <v>2.7248778010177501</v>
      </c>
      <c r="E63" s="25">
        <v>8.6406288478939205E-2</v>
      </c>
      <c r="F63" s="25">
        <v>0.227072875603895</v>
      </c>
      <c r="G63" s="25">
        <v>2.7409619776096201E-3</v>
      </c>
      <c r="H63" s="25">
        <v>0.21868772983908999</v>
      </c>
      <c r="I63" s="13">
        <f t="shared" si="3"/>
        <v>99.875015519735371</v>
      </c>
      <c r="J63" s="3">
        <f t="shared" si="4"/>
        <v>0.12498448026462272</v>
      </c>
      <c r="K63" s="3">
        <v>0</v>
      </c>
      <c r="L63" s="24">
        <v>8.7433962813105795E-2</v>
      </c>
      <c r="M63" s="24">
        <v>2.7705284239478698E-3</v>
      </c>
      <c r="N63" s="24">
        <v>4.3996776028908604</v>
      </c>
      <c r="O63" s="24">
        <v>5.5724193307971903E-2</v>
      </c>
      <c r="P63" s="24">
        <v>2.9101600083052599</v>
      </c>
      <c r="Q63" s="24">
        <v>4.5287287119143399E-2</v>
      </c>
      <c r="R63" s="24">
        <v>0.15994539949622699</v>
      </c>
      <c r="S63" s="25">
        <v>1318.53575453389</v>
      </c>
      <c r="T63" s="25">
        <v>14.417462947217301</v>
      </c>
      <c r="U63" s="25">
        <v>1320.18578187189</v>
      </c>
      <c r="V63" s="25">
        <v>64.714482271755102</v>
      </c>
      <c r="W63" s="28">
        <v>50</v>
      </c>
    </row>
    <row r="64" spans="1:24" ht="16" x14ac:dyDescent="0.2">
      <c r="A64" s="11">
        <v>2</v>
      </c>
      <c r="B64" s="24" t="s">
        <v>99</v>
      </c>
      <c r="C64" s="24" t="s">
        <v>495</v>
      </c>
      <c r="D64" s="25">
        <v>2.06415036379753</v>
      </c>
      <c r="E64" s="25">
        <v>2.3727196467135499E-2</v>
      </c>
      <c r="F64" s="25">
        <v>0.19316908490892201</v>
      </c>
      <c r="G64" s="25">
        <v>1.10783316679871E-3</v>
      </c>
      <c r="H64" s="25">
        <v>6.2619348064078498E-2</v>
      </c>
      <c r="I64" s="13">
        <f t="shared" si="3"/>
        <v>99.5210518665574</v>
      </c>
      <c r="J64" s="3">
        <f t="shared" si="4"/>
        <v>0.47894813344260267</v>
      </c>
      <c r="K64" s="3">
        <f t="shared" si="2"/>
        <v>0.47894813344260267</v>
      </c>
      <c r="L64" s="24">
        <v>7.7824985602100993E-2</v>
      </c>
      <c r="M64" s="24">
        <v>9.7643694718877599E-4</v>
      </c>
      <c r="N64" s="24">
        <v>5.1624655543259204</v>
      </c>
      <c r="O64" s="24">
        <v>2.9899613402266899E-2</v>
      </c>
      <c r="P64" s="24">
        <v>1.7674045578381099</v>
      </c>
      <c r="Q64" s="24">
        <v>2.3278229140105199E-2</v>
      </c>
      <c r="R64" s="24">
        <v>0.44606964112751302</v>
      </c>
      <c r="S64" s="25">
        <v>1138.4147455198099</v>
      </c>
      <c r="T64" s="25">
        <v>5.9873473328881301</v>
      </c>
      <c r="U64" s="25">
        <v>1143.8934016154201</v>
      </c>
      <c r="V64" s="25">
        <v>25.823107087815401</v>
      </c>
      <c r="W64" s="28">
        <v>50</v>
      </c>
    </row>
    <row r="65" spans="1:24" s="5" customFormat="1" ht="16" x14ac:dyDescent="0.2">
      <c r="A65" s="11">
        <v>2</v>
      </c>
      <c r="B65" s="26" t="s">
        <v>100</v>
      </c>
      <c r="C65" s="26" t="s">
        <v>496</v>
      </c>
      <c r="D65" s="26">
        <v>27.225136641134899</v>
      </c>
      <c r="E65" s="26">
        <v>0.71329609174073205</v>
      </c>
      <c r="F65" s="26">
        <v>0.42662025355704802</v>
      </c>
      <c r="G65" s="26">
        <v>1.02358798191874E-2</v>
      </c>
      <c r="H65" s="26">
        <v>0.95907465032105699</v>
      </c>
      <c r="I65" s="6">
        <f t="shared" si="3"/>
        <v>55.423136054978286</v>
      </c>
      <c r="J65" s="7">
        <f t="shared" si="4"/>
        <v>44.576863945021714</v>
      </c>
      <c r="K65" s="3">
        <v>10</v>
      </c>
      <c r="L65" s="26">
        <v>0.46505738186385998</v>
      </c>
      <c r="M65" s="26">
        <v>3.5005169635658898E-3</v>
      </c>
      <c r="N65" s="26">
        <v>2.3849418905061199</v>
      </c>
      <c r="O65" s="26">
        <v>5.8383045650629101E-2</v>
      </c>
      <c r="P65" s="26">
        <v>0.67188239346158796</v>
      </c>
      <c r="Q65" s="26">
        <v>5.6111126630966996E-3</v>
      </c>
      <c r="R65" s="26">
        <v>-0.100886290205218</v>
      </c>
      <c r="S65" s="26">
        <v>2289.9130137093698</v>
      </c>
      <c r="T65" s="26">
        <v>47.389174655915802</v>
      </c>
      <c r="U65" s="26">
        <v>4131.6915221791796</v>
      </c>
      <c r="V65" s="26">
        <v>11.217336044483099</v>
      </c>
      <c r="W65" s="28">
        <v>50</v>
      </c>
      <c r="X65" s="22"/>
    </row>
    <row r="66" spans="1:24" ht="16" x14ac:dyDescent="0.2">
      <c r="A66" s="11">
        <v>2</v>
      </c>
      <c r="B66" s="24" t="s">
        <v>101</v>
      </c>
      <c r="C66" s="24" t="s">
        <v>501</v>
      </c>
      <c r="D66" s="25">
        <v>2.6711998379611801</v>
      </c>
      <c r="E66" s="25">
        <v>3.7980614541131101E-2</v>
      </c>
      <c r="F66" s="25">
        <v>0.22523050296934299</v>
      </c>
      <c r="G66" s="25">
        <v>1.49951483744835E-3</v>
      </c>
      <c r="H66" s="25">
        <v>0.30085342594543302</v>
      </c>
      <c r="I66" s="13">
        <f t="shared" ref="I66:I97" si="5">(S66/U66)*100</f>
        <v>97.022170085523811</v>
      </c>
      <c r="J66" s="3">
        <f t="shared" ref="J66:J97" si="6">(1-(S66/U66))*100</f>
        <v>2.9778299144761933</v>
      </c>
      <c r="K66" s="3">
        <v>0</v>
      </c>
      <c r="L66" s="24">
        <v>8.7010342956511305E-2</v>
      </c>
      <c r="M66" s="24">
        <v>1.3100947841796599E-3</v>
      </c>
      <c r="N66" s="24">
        <v>4.4363829793592497</v>
      </c>
      <c r="O66" s="24">
        <v>2.9552465218802101E-2</v>
      </c>
      <c r="P66" s="24">
        <v>1.7539500269250401</v>
      </c>
      <c r="Q66" s="24">
        <v>2.8561842968833899E-2</v>
      </c>
      <c r="R66" s="24">
        <v>0.25201566574166201</v>
      </c>
      <c r="S66" s="25">
        <v>1309.2726629261399</v>
      </c>
      <c r="T66" s="25">
        <v>7.8870802386246002</v>
      </c>
      <c r="U66" s="25">
        <v>1349.4572032062699</v>
      </c>
      <c r="V66" s="25">
        <v>29.104080176974598</v>
      </c>
      <c r="W66" s="28">
        <v>50</v>
      </c>
    </row>
    <row r="67" spans="1:24" s="5" customFormat="1" ht="16" x14ac:dyDescent="0.2">
      <c r="A67" s="11">
        <v>2</v>
      </c>
      <c r="B67" s="26" t="s">
        <v>102</v>
      </c>
      <c r="C67" s="26" t="s">
        <v>502</v>
      </c>
      <c r="D67" s="26">
        <v>22.664287043917199</v>
      </c>
      <c r="E67" s="26">
        <v>0.41151191428198503</v>
      </c>
      <c r="F67" s="26">
        <v>0.49164821905433098</v>
      </c>
      <c r="G67" s="26">
        <v>8.3152503359282797E-3</v>
      </c>
      <c r="H67" s="26">
        <v>0.86020985708101305</v>
      </c>
      <c r="I67" s="6">
        <f t="shared" si="5"/>
        <v>70.571384910658566</v>
      </c>
      <c r="J67" s="7">
        <f t="shared" si="6"/>
        <v>29.428615089341438</v>
      </c>
      <c r="K67" s="3">
        <v>10</v>
      </c>
      <c r="L67" s="26">
        <v>0.337310370609815</v>
      </c>
      <c r="M67" s="26">
        <v>3.1100728350603999E-3</v>
      </c>
      <c r="N67" s="26">
        <v>2.0332950019842699</v>
      </c>
      <c r="O67" s="26">
        <v>3.6415550488836303E-2</v>
      </c>
      <c r="P67" s="26">
        <v>0.75525156303347096</v>
      </c>
      <c r="Q67" s="26">
        <v>9.3101316019655392E-3</v>
      </c>
      <c r="R67" s="26">
        <v>0.18078498983875901</v>
      </c>
      <c r="S67" s="26">
        <v>2573.9152098497598</v>
      </c>
      <c r="T67" s="26">
        <v>36.701304446896899</v>
      </c>
      <c r="U67" s="26">
        <v>3647.2505295287401</v>
      </c>
      <c r="V67" s="26">
        <v>14.0231561805955</v>
      </c>
      <c r="W67" s="28">
        <v>50</v>
      </c>
      <c r="X67" s="22"/>
    </row>
    <row r="68" spans="1:24" ht="16" x14ac:dyDescent="0.2">
      <c r="A68" s="11">
        <v>2</v>
      </c>
      <c r="B68" s="24" t="s">
        <v>103</v>
      </c>
      <c r="C68" s="24" t="s">
        <v>503</v>
      </c>
      <c r="D68" s="25">
        <v>3.2542500258656699</v>
      </c>
      <c r="E68" s="25">
        <v>5.4406030631179499E-2</v>
      </c>
      <c r="F68" s="25">
        <v>0.25214563275227297</v>
      </c>
      <c r="G68" s="25">
        <v>2.19418430797798E-3</v>
      </c>
      <c r="H68" s="25">
        <v>0.30945812648672399</v>
      </c>
      <c r="I68" s="13">
        <f t="shared" si="5"/>
        <v>95.765190787021908</v>
      </c>
      <c r="J68" s="3">
        <f t="shared" si="6"/>
        <v>4.2348092129780968</v>
      </c>
      <c r="K68" s="3">
        <v>0</v>
      </c>
      <c r="L68" s="24">
        <v>9.4679506015455897E-2</v>
      </c>
      <c r="M68" s="24">
        <v>1.5397907676090799E-3</v>
      </c>
      <c r="N68" s="24">
        <v>3.9675295967731201</v>
      </c>
      <c r="O68" s="24">
        <v>3.4844458807589698E-2</v>
      </c>
      <c r="P68" s="24">
        <v>1.8528825982203501</v>
      </c>
      <c r="Q68" s="24">
        <v>5.7678803494452202E-2</v>
      </c>
      <c r="R68" s="24">
        <v>0.24958312178883699</v>
      </c>
      <c r="S68" s="25">
        <v>1449.1577237992101</v>
      </c>
      <c r="T68" s="25">
        <v>11.3018369871186</v>
      </c>
      <c r="U68" s="25">
        <v>1513.24057508754</v>
      </c>
      <c r="V68" s="25">
        <v>29.964784803758398</v>
      </c>
      <c r="W68" s="28">
        <v>50</v>
      </c>
    </row>
    <row r="69" spans="1:24" ht="16" x14ac:dyDescent="0.2">
      <c r="A69" s="11">
        <v>2</v>
      </c>
      <c r="B69" s="24" t="s">
        <v>104</v>
      </c>
      <c r="C69" s="24" t="s">
        <v>505</v>
      </c>
      <c r="D69" s="25">
        <v>2.8075499260297798</v>
      </c>
      <c r="E69" s="25">
        <v>5.61844882576783E-2</v>
      </c>
      <c r="F69" s="25">
        <v>0.231438250087909</v>
      </c>
      <c r="G69" s="25">
        <v>1.8549602801177501E-3</v>
      </c>
      <c r="H69" s="25">
        <v>-2.03728079421036E-2</v>
      </c>
      <c r="I69" s="13">
        <f t="shared" si="5"/>
        <v>97.019922586302869</v>
      </c>
      <c r="J69" s="3">
        <f t="shared" si="6"/>
        <v>2.9800774136971353</v>
      </c>
      <c r="K69" s="3">
        <v>0</v>
      </c>
      <c r="L69" s="24">
        <v>8.8976215598939104E-2</v>
      </c>
      <c r="M69" s="24">
        <v>1.8382482097921799E-3</v>
      </c>
      <c r="N69" s="24">
        <v>4.3201658212948502</v>
      </c>
      <c r="O69" s="24">
        <v>3.3910667105234202E-2</v>
      </c>
      <c r="P69" s="24">
        <v>1.7390207863777101</v>
      </c>
      <c r="Q69" s="24">
        <v>1.7329231278041798E-2</v>
      </c>
      <c r="R69" s="24">
        <v>0.447089934504386</v>
      </c>
      <c r="S69" s="25">
        <v>1341.7574571897801</v>
      </c>
      <c r="T69" s="25">
        <v>9.6839625020888906</v>
      </c>
      <c r="U69" s="25">
        <v>1382.9710655522699</v>
      </c>
      <c r="V69" s="25">
        <v>40.258272010458199</v>
      </c>
      <c r="W69" s="28">
        <v>50</v>
      </c>
    </row>
    <row r="70" spans="1:24" s="1" customFormat="1" ht="16" x14ac:dyDescent="0.2">
      <c r="A70" s="11">
        <v>2</v>
      </c>
      <c r="B70" s="24" t="s">
        <v>105</v>
      </c>
      <c r="C70" s="24" t="s">
        <v>548</v>
      </c>
      <c r="D70" s="25">
        <v>1.8761969173517099</v>
      </c>
      <c r="E70" s="25">
        <v>2.8522322177728099E-2</v>
      </c>
      <c r="F70" s="25">
        <v>0.18032372181655801</v>
      </c>
      <c r="G70" s="25">
        <v>1.74681324377782E-3</v>
      </c>
      <c r="H70" s="25">
        <v>0.49441556687980498</v>
      </c>
      <c r="I70" s="13">
        <f t="shared" si="5"/>
        <v>98.329336829473718</v>
      </c>
      <c r="J70" s="3">
        <f t="shared" si="6"/>
        <v>1.6706631705262764</v>
      </c>
      <c r="K70" s="3">
        <v>0</v>
      </c>
      <c r="L70" s="24">
        <v>7.5990289486522394E-2</v>
      </c>
      <c r="M70" s="24">
        <v>1.0582243715613201E-3</v>
      </c>
      <c r="N70" s="24">
        <v>5.53769514546451</v>
      </c>
      <c r="O70" s="24">
        <v>5.6534985540443297E-2</v>
      </c>
      <c r="P70" s="24">
        <v>-23267.687932430501</v>
      </c>
      <c r="Q70" s="24">
        <v>2184.0343063868299</v>
      </c>
      <c r="R70" s="24">
        <v>0.20874721232139501</v>
      </c>
      <c r="S70" s="25">
        <v>1069.85675505053</v>
      </c>
      <c r="T70" s="25">
        <v>9.8908121653105194</v>
      </c>
      <c r="U70" s="25">
        <v>1088.03414072233</v>
      </c>
      <c r="V70" s="25">
        <v>27.077497891941</v>
      </c>
      <c r="W70" s="28">
        <v>50</v>
      </c>
    </row>
    <row r="71" spans="1:24" ht="16" x14ac:dyDescent="0.2">
      <c r="A71" s="11">
        <v>2</v>
      </c>
      <c r="B71" s="24" t="s">
        <v>106</v>
      </c>
      <c r="C71" s="24" t="s">
        <v>512</v>
      </c>
      <c r="D71" s="25">
        <v>4.9853634624397998</v>
      </c>
      <c r="E71" s="25">
        <v>5.3716174984854301E-2</v>
      </c>
      <c r="F71" s="25">
        <v>0.320451319374497</v>
      </c>
      <c r="G71" s="25">
        <v>2.1789105053986999E-3</v>
      </c>
      <c r="H71" s="25">
        <v>0.50337780529223797</v>
      </c>
      <c r="I71" s="13">
        <f t="shared" si="5"/>
        <v>96.047794632926937</v>
      </c>
      <c r="J71" s="3">
        <f t="shared" si="6"/>
        <v>3.9522053670730584</v>
      </c>
      <c r="K71" s="3">
        <v>0</v>
      </c>
      <c r="L71" s="24">
        <v>0.114088694789497</v>
      </c>
      <c r="M71" s="24">
        <v>1.07306770567587E-3</v>
      </c>
      <c r="N71" s="24">
        <v>3.1179959850001802</v>
      </c>
      <c r="O71" s="24">
        <v>2.1463104930971699E-2</v>
      </c>
      <c r="P71" s="24">
        <v>0.72995384244847406</v>
      </c>
      <c r="Q71" s="24">
        <v>1.62705873080463E-2</v>
      </c>
      <c r="R71" s="24">
        <v>0.25795873969861299</v>
      </c>
      <c r="S71" s="25">
        <v>1791.6056446294899</v>
      </c>
      <c r="T71" s="25">
        <v>10.6460452423684</v>
      </c>
      <c r="U71" s="25">
        <v>1865.3272066023001</v>
      </c>
      <c r="V71" s="25">
        <v>16.960902762852101</v>
      </c>
      <c r="W71" s="28">
        <v>50</v>
      </c>
    </row>
    <row r="72" spans="1:24" s="5" customFormat="1" ht="16" x14ac:dyDescent="0.2">
      <c r="A72" s="11">
        <v>2</v>
      </c>
      <c r="B72" s="26" t="s">
        <v>107</v>
      </c>
      <c r="C72" s="26" t="s">
        <v>513</v>
      </c>
      <c r="D72" s="26">
        <v>2.8901982915656799</v>
      </c>
      <c r="E72" s="26">
        <v>5.9605882999853699E-2</v>
      </c>
      <c r="F72" s="26">
        <v>0.22103244504265199</v>
      </c>
      <c r="G72" s="26">
        <v>1.7056752457773701E-3</v>
      </c>
      <c r="H72" s="26">
        <v>0.60925059645011004</v>
      </c>
      <c r="I72" s="6">
        <f t="shared" si="5"/>
        <v>84.446785989308381</v>
      </c>
      <c r="J72" s="7">
        <f t="shared" si="6"/>
        <v>15.553214010691619</v>
      </c>
      <c r="K72" s="3">
        <v>10</v>
      </c>
      <c r="L72" s="26">
        <v>9.5462739968958599E-2</v>
      </c>
      <c r="M72" s="26">
        <v>1.6167618936052299E-3</v>
      </c>
      <c r="N72" s="26">
        <v>4.5230836780432497</v>
      </c>
      <c r="O72" s="26">
        <v>3.4709896443437999E-2</v>
      </c>
      <c r="P72" s="26">
        <v>0.87663157846751605</v>
      </c>
      <c r="Q72" s="26">
        <v>2.7893852278624599E-2</v>
      </c>
      <c r="R72" s="26">
        <v>-0.25852270301538599</v>
      </c>
      <c r="S72" s="26">
        <v>1287.09094705746</v>
      </c>
      <c r="T72" s="26">
        <v>8.9966594580407602</v>
      </c>
      <c r="U72" s="26">
        <v>1524.14438510474</v>
      </c>
      <c r="V72" s="26">
        <v>30.9576551022292</v>
      </c>
      <c r="W72" s="28">
        <v>50</v>
      </c>
      <c r="X72" s="22"/>
    </row>
    <row r="73" spans="1:24" ht="16" x14ac:dyDescent="0.2">
      <c r="A73" s="11">
        <v>2</v>
      </c>
      <c r="B73" s="24" t="s">
        <v>108</v>
      </c>
      <c r="C73" s="24" t="s">
        <v>514</v>
      </c>
      <c r="D73" s="25">
        <v>18.166178722245601</v>
      </c>
      <c r="E73" s="25">
        <v>1.1063878988912601</v>
      </c>
      <c r="F73" s="25">
        <v>0.373425132599642</v>
      </c>
      <c r="G73" s="25">
        <v>1.440702448109E-2</v>
      </c>
      <c r="H73" s="25">
        <v>0.75026895391128701</v>
      </c>
      <c r="I73" s="13">
        <f t="shared" si="5"/>
        <v>55.279098716959894</v>
      </c>
      <c r="J73" s="3">
        <f t="shared" si="6"/>
        <v>44.720901283040106</v>
      </c>
      <c r="K73" s="3">
        <v>10</v>
      </c>
      <c r="L73" s="24">
        <v>0.352196611831604</v>
      </c>
      <c r="M73" s="24">
        <v>1.4307772274085299E-2</v>
      </c>
      <c r="N73" s="24">
        <v>2.7790309873765602</v>
      </c>
      <c r="O73" s="24">
        <v>0.102552997347394</v>
      </c>
      <c r="P73" s="24">
        <v>0.48122163220636899</v>
      </c>
      <c r="Q73" s="24">
        <v>5.58962628149395E-2</v>
      </c>
      <c r="R73" s="24">
        <v>-6.6186208354573506E-2</v>
      </c>
      <c r="S73" s="25">
        <v>2032.48581884189</v>
      </c>
      <c r="T73" s="25">
        <v>66.221920825182593</v>
      </c>
      <c r="U73" s="25">
        <v>3676.7709062129002</v>
      </c>
      <c r="V73" s="25">
        <v>66.029495054691694</v>
      </c>
      <c r="W73" s="28">
        <v>50</v>
      </c>
    </row>
    <row r="74" spans="1:24" s="5" customFormat="1" ht="16" x14ac:dyDescent="0.2">
      <c r="A74" s="11">
        <v>2</v>
      </c>
      <c r="B74" s="26" t="s">
        <v>109</v>
      </c>
      <c r="C74" s="26" t="s">
        <v>517</v>
      </c>
      <c r="D74" s="26">
        <v>17.492871461122</v>
      </c>
      <c r="E74" s="26">
        <v>0.48829498342155803</v>
      </c>
      <c r="F74" s="26">
        <v>0.53364914523248896</v>
      </c>
      <c r="G74" s="26">
        <v>9.2963093633032894E-3</v>
      </c>
      <c r="H74" s="26">
        <v>0.37960302465911999</v>
      </c>
      <c r="I74" s="6">
        <f t="shared" si="5"/>
        <v>88.665571709922801</v>
      </c>
      <c r="J74" s="7">
        <f t="shared" si="6"/>
        <v>11.334428290077192</v>
      </c>
      <c r="K74" s="3">
        <v>10</v>
      </c>
      <c r="L74" s="26">
        <v>0.23885283842333299</v>
      </c>
      <c r="M74" s="26">
        <v>6.2555463626654496E-3</v>
      </c>
      <c r="N74" s="26">
        <v>1.88663528253483</v>
      </c>
      <c r="O74" s="26">
        <v>3.3712122553214E-2</v>
      </c>
      <c r="P74" s="26">
        <v>7.03994963690318</v>
      </c>
      <c r="Q74" s="26">
        <v>0.39123946219544398</v>
      </c>
      <c r="R74" s="26">
        <v>0.25924820373254198</v>
      </c>
      <c r="S74" s="26">
        <v>2752.3909055611098</v>
      </c>
      <c r="T74" s="26">
        <v>38.9281940371609</v>
      </c>
      <c r="U74" s="26">
        <v>3104.2386040951701</v>
      </c>
      <c r="V74" s="26">
        <v>41.2068687860477</v>
      </c>
      <c r="W74" s="28">
        <v>50</v>
      </c>
      <c r="X74" s="22"/>
    </row>
    <row r="75" spans="1:24" ht="16" x14ac:dyDescent="0.2">
      <c r="A75" s="11">
        <v>2</v>
      </c>
      <c r="B75" s="24" t="s">
        <v>110</v>
      </c>
      <c r="C75" s="24" t="s">
        <v>518</v>
      </c>
      <c r="D75" s="25">
        <v>2.7578083492243901</v>
      </c>
      <c r="E75" s="25">
        <v>5.8030934406449602E-2</v>
      </c>
      <c r="F75" s="25">
        <v>0.230980093597386</v>
      </c>
      <c r="G75" s="25">
        <v>2.1561598830592802E-3</v>
      </c>
      <c r="H75" s="25">
        <v>0.16144619155088299</v>
      </c>
      <c r="I75" s="13">
        <f t="shared" si="5"/>
        <v>100.1898207591573</v>
      </c>
      <c r="J75" s="3">
        <f t="shared" si="6"/>
        <v>-0.18982075915729979</v>
      </c>
      <c r="K75" s="3">
        <f t="shared" ref="K75:K92" si="7">J75</f>
        <v>-0.18982075915729979</v>
      </c>
      <c r="L75" s="24">
        <v>8.7091574981631406E-2</v>
      </c>
      <c r="M75" s="24">
        <v>2.0107241810551398E-3</v>
      </c>
      <c r="N75" s="24">
        <v>4.3177024521560998</v>
      </c>
      <c r="O75" s="24">
        <v>4.2599533458603997E-2</v>
      </c>
      <c r="P75" s="24">
        <v>1.2008767036628401</v>
      </c>
      <c r="Q75" s="24">
        <v>6.3546226347239596E-2</v>
      </c>
      <c r="R75" s="24">
        <v>0.26589122981118302</v>
      </c>
      <c r="S75" s="25">
        <v>1339.2592166373699</v>
      </c>
      <c r="T75" s="25">
        <v>11.3187879095215</v>
      </c>
      <c r="U75" s="25">
        <v>1336.7218410907899</v>
      </c>
      <c r="V75" s="25">
        <v>45.201096366807498</v>
      </c>
      <c r="W75" s="28">
        <v>50</v>
      </c>
    </row>
    <row r="76" spans="1:24" s="5" customFormat="1" ht="16" x14ac:dyDescent="0.2">
      <c r="A76" s="11">
        <v>2</v>
      </c>
      <c r="B76" s="26" t="s">
        <v>111</v>
      </c>
      <c r="C76" s="26" t="s">
        <v>520</v>
      </c>
      <c r="D76" s="26">
        <v>2.90044306997512</v>
      </c>
      <c r="E76" s="26">
        <v>3.6763236103991799E-2</v>
      </c>
      <c r="F76" s="26">
        <v>0.227706096503351</v>
      </c>
      <c r="G76" s="26">
        <v>1.78838636978954E-3</v>
      </c>
      <c r="H76" s="26">
        <v>0.56683964910894302</v>
      </c>
      <c r="I76" s="6">
        <f t="shared" si="5"/>
        <v>88.651739370207096</v>
      </c>
      <c r="J76" s="7">
        <f t="shared" si="6"/>
        <v>11.348260629792906</v>
      </c>
      <c r="K76" s="3">
        <v>10</v>
      </c>
      <c r="L76" s="26">
        <v>9.3461489276348994E-2</v>
      </c>
      <c r="M76" s="26">
        <v>9.9534986055091804E-4</v>
      </c>
      <c r="N76" s="26">
        <v>4.3918739410576704</v>
      </c>
      <c r="O76" s="26">
        <v>3.6142796996901101E-2</v>
      </c>
      <c r="P76" s="26">
        <v>1.04327490806268</v>
      </c>
      <c r="Q76" s="26">
        <v>4.1691053584262901E-2</v>
      </c>
      <c r="R76" s="26">
        <v>0.20866164888636801</v>
      </c>
      <c r="S76" s="26">
        <v>1322.2130125091301</v>
      </c>
      <c r="T76" s="26">
        <v>9.4246622992101194</v>
      </c>
      <c r="U76" s="26">
        <v>1491.4687764755599</v>
      </c>
      <c r="V76" s="26">
        <v>20.145126891719698</v>
      </c>
      <c r="W76" s="28">
        <v>50</v>
      </c>
      <c r="X76" s="22"/>
    </row>
    <row r="77" spans="1:24" ht="16" x14ac:dyDescent="0.2">
      <c r="A77" s="11">
        <v>2</v>
      </c>
      <c r="B77" s="24" t="s">
        <v>112</v>
      </c>
      <c r="C77" s="24" t="s">
        <v>522</v>
      </c>
      <c r="D77" s="25">
        <v>2.4518113380381901</v>
      </c>
      <c r="E77" s="25">
        <v>4.8038646511967799E-2</v>
      </c>
      <c r="F77" s="25">
        <v>0.21600630174087099</v>
      </c>
      <c r="G77" s="25">
        <v>1.8024150055467099E-3</v>
      </c>
      <c r="H77" s="25">
        <v>0.24936678145091801</v>
      </c>
      <c r="I77" s="13">
        <f t="shared" si="5"/>
        <v>101.02939971293618</v>
      </c>
      <c r="J77" s="3">
        <f t="shared" si="6"/>
        <v>-1.0293997129361854</v>
      </c>
      <c r="K77" s="3">
        <v>0</v>
      </c>
      <c r="L77" s="24">
        <v>8.2902717508953006E-2</v>
      </c>
      <c r="M77" s="24">
        <v>1.60821110476854E-3</v>
      </c>
      <c r="N77" s="24">
        <v>4.6207829553716602</v>
      </c>
      <c r="O77" s="24">
        <v>3.85133911070209E-2</v>
      </c>
      <c r="P77" s="24">
        <v>1.98234693640076</v>
      </c>
      <c r="Q77" s="24">
        <v>1.9249312655696099E-2</v>
      </c>
      <c r="R77" s="24">
        <v>0.23305941412738501</v>
      </c>
      <c r="S77" s="25">
        <v>1260.47042030688</v>
      </c>
      <c r="T77" s="25">
        <v>9.5598423073671395</v>
      </c>
      <c r="U77" s="25">
        <v>1247.62734796838</v>
      </c>
      <c r="V77" s="25">
        <v>39.170567065777803</v>
      </c>
      <c r="W77" s="28">
        <v>50</v>
      </c>
    </row>
    <row r="78" spans="1:24" s="21" customFormat="1" ht="16" x14ac:dyDescent="0.2">
      <c r="A78" s="11">
        <v>2</v>
      </c>
      <c r="B78" s="26" t="s">
        <v>113</v>
      </c>
      <c r="C78" s="26" t="s">
        <v>523</v>
      </c>
      <c r="D78" s="26">
        <v>1.7685872921474399</v>
      </c>
      <c r="E78" s="26">
        <v>2.8297379807776399E-2</v>
      </c>
      <c r="F78" s="26">
        <v>0.14475047840281699</v>
      </c>
      <c r="G78" s="26">
        <v>1.3599651446923101E-3</v>
      </c>
      <c r="H78" s="26">
        <v>0.48036753627028</v>
      </c>
      <c r="I78" s="6">
        <f t="shared" si="5"/>
        <v>62.291373497103564</v>
      </c>
      <c r="J78" s="7">
        <f t="shared" si="6"/>
        <v>37.708626502896436</v>
      </c>
      <c r="K78" s="3">
        <v>10</v>
      </c>
      <c r="L78" s="26">
        <v>8.9053225489603205E-2</v>
      </c>
      <c r="M78" s="26">
        <v>1.28411607114316E-3</v>
      </c>
      <c r="N78" s="26">
        <v>6.9159875999148799</v>
      </c>
      <c r="O78" s="26">
        <v>6.5881221306682905E-2</v>
      </c>
      <c r="P78" s="26">
        <v>0.19490753733998301</v>
      </c>
      <c r="Q78" s="26">
        <v>7.9600722558464503E-3</v>
      </c>
      <c r="R78" s="26">
        <v>7.08745653742342E-2</v>
      </c>
      <c r="S78" s="26">
        <v>871.29985966434299</v>
      </c>
      <c r="T78" s="26">
        <v>7.66131570482084</v>
      </c>
      <c r="U78" s="26">
        <v>1398.7488327013</v>
      </c>
      <c r="V78" s="26">
        <v>27.137461117528701</v>
      </c>
      <c r="W78" s="28">
        <v>50</v>
      </c>
    </row>
    <row r="79" spans="1:24" ht="16" x14ac:dyDescent="0.2">
      <c r="A79" s="11">
        <v>2</v>
      </c>
      <c r="B79" s="24" t="s">
        <v>114</v>
      </c>
      <c r="C79" s="24" t="s">
        <v>549</v>
      </c>
      <c r="D79" s="25">
        <v>3.0238634146156902</v>
      </c>
      <c r="E79" s="25">
        <v>5.3673033814314097E-2</v>
      </c>
      <c r="F79" s="25">
        <v>0.251661154673815</v>
      </c>
      <c r="G79" s="25">
        <v>2.1539801583799999E-3</v>
      </c>
      <c r="H79" s="25">
        <v>0.29417720376459999</v>
      </c>
      <c r="I79" s="13">
        <f t="shared" si="5"/>
        <v>106.12126987354135</v>
      </c>
      <c r="J79" s="3">
        <f t="shared" si="6"/>
        <v>-6.1212698735413573</v>
      </c>
      <c r="K79" s="3">
        <v>0</v>
      </c>
      <c r="L79" s="24">
        <v>8.7580766020348602E-2</v>
      </c>
      <c r="M79" s="24">
        <v>1.5398587180148499E-3</v>
      </c>
      <c r="N79" s="24">
        <v>3.9706922306441199</v>
      </c>
      <c r="O79" s="24">
        <v>3.2658063238588601E-2</v>
      </c>
      <c r="P79" s="24">
        <v>1.29186335583352</v>
      </c>
      <c r="Q79" s="24">
        <v>8.7105942251090904E-2</v>
      </c>
      <c r="R79" s="24">
        <v>0.20488697438919001</v>
      </c>
      <c r="S79" s="25">
        <v>1446.6765530398</v>
      </c>
      <c r="T79" s="25">
        <v>11.0941381191908</v>
      </c>
      <c r="U79" s="25">
        <v>1363.2295907914799</v>
      </c>
      <c r="V79" s="25">
        <v>33.050633728285497</v>
      </c>
      <c r="W79" s="28">
        <v>50</v>
      </c>
    </row>
    <row r="80" spans="1:24" ht="16" x14ac:dyDescent="0.2">
      <c r="A80" s="11">
        <v>2</v>
      </c>
      <c r="B80" s="24" t="s">
        <v>115</v>
      </c>
      <c r="C80" s="24" t="s">
        <v>528</v>
      </c>
      <c r="D80" s="25">
        <v>2.6831876809850801</v>
      </c>
      <c r="E80" s="25">
        <v>4.7972483036380603E-2</v>
      </c>
      <c r="F80" s="25">
        <v>0.22812757782352899</v>
      </c>
      <c r="G80" s="25">
        <v>1.6799238354137801E-3</v>
      </c>
      <c r="H80" s="25">
        <v>0.425183613976023</v>
      </c>
      <c r="I80" s="13">
        <f t="shared" si="5"/>
        <v>99.874322379521871</v>
      </c>
      <c r="J80" s="3">
        <f t="shared" si="6"/>
        <v>0.12567762047812625</v>
      </c>
      <c r="K80" s="3">
        <f t="shared" si="7"/>
        <v>0.12567762047812625</v>
      </c>
      <c r="L80" s="24">
        <v>8.5517877694557695E-2</v>
      </c>
      <c r="M80" s="24">
        <v>1.4249432101606199E-3</v>
      </c>
      <c r="N80" s="24">
        <v>4.3788068617893199</v>
      </c>
      <c r="O80" s="24">
        <v>3.2114009827836298E-2</v>
      </c>
      <c r="P80" s="24">
        <v>2.5505843003026301</v>
      </c>
      <c r="Q80" s="24">
        <v>2.69512810082491E-2</v>
      </c>
      <c r="R80" s="24">
        <v>5.58858257571977E-2</v>
      </c>
      <c r="S80" s="25">
        <v>1324.4498028574801</v>
      </c>
      <c r="T80" s="25">
        <v>8.8415408252025003</v>
      </c>
      <c r="U80" s="25">
        <v>1326.11643443705</v>
      </c>
      <c r="V80" s="25">
        <v>33.257412601719501</v>
      </c>
      <c r="W80" s="28">
        <v>50</v>
      </c>
    </row>
    <row r="81" spans="1:24" ht="16" x14ac:dyDescent="0.2">
      <c r="A81" s="11">
        <v>2</v>
      </c>
      <c r="B81" s="24" t="s">
        <v>116</v>
      </c>
      <c r="C81" s="24" t="s">
        <v>530</v>
      </c>
      <c r="D81" s="25">
        <v>2.8327184937862202</v>
      </c>
      <c r="E81" s="25">
        <v>5.7633636706559598E-2</v>
      </c>
      <c r="F81" s="25">
        <v>0.23904958141284699</v>
      </c>
      <c r="G81" s="25">
        <v>2.0222119276097198E-3</v>
      </c>
      <c r="H81" s="25">
        <v>0.20668536117684999</v>
      </c>
      <c r="I81" s="13">
        <f t="shared" si="5"/>
        <v>103.67773512285486</v>
      </c>
      <c r="J81" s="3">
        <f t="shared" si="6"/>
        <v>-3.6777351228548527</v>
      </c>
      <c r="K81" s="3">
        <v>0</v>
      </c>
      <c r="L81" s="24">
        <v>8.6708583381187004E-2</v>
      </c>
      <c r="M81" s="24">
        <v>1.82096747906511E-3</v>
      </c>
      <c r="N81" s="24">
        <v>4.1862662527421701</v>
      </c>
      <c r="O81" s="24">
        <v>3.6102149013512802E-2</v>
      </c>
      <c r="P81" s="24">
        <v>1.8698983770469999</v>
      </c>
      <c r="Q81" s="24">
        <v>1.75542392077459E-2</v>
      </c>
      <c r="R81" s="24">
        <v>0.22787530953351001</v>
      </c>
      <c r="S81" s="25">
        <v>1381.42961542577</v>
      </c>
      <c r="T81" s="25">
        <v>10.533386531335401</v>
      </c>
      <c r="U81" s="25">
        <v>1332.42649811825</v>
      </c>
      <c r="V81" s="25">
        <v>41.213538981841303</v>
      </c>
      <c r="W81" s="28">
        <v>50</v>
      </c>
    </row>
    <row r="82" spans="1:24" ht="16" x14ac:dyDescent="0.2">
      <c r="A82" s="11">
        <v>2</v>
      </c>
      <c r="B82" s="24" t="s">
        <v>117</v>
      </c>
      <c r="C82" s="24" t="s">
        <v>533</v>
      </c>
      <c r="D82" s="25">
        <v>3.2264760764263398</v>
      </c>
      <c r="E82" s="25">
        <v>6.9298694293044694E-2</v>
      </c>
      <c r="F82" s="25">
        <v>0.25409115987752401</v>
      </c>
      <c r="G82" s="25">
        <v>2.8271796323317798E-3</v>
      </c>
      <c r="H82" s="25">
        <v>0.41209362349157302</v>
      </c>
      <c r="I82" s="13">
        <f t="shared" si="5"/>
        <v>99.97454073345034</v>
      </c>
      <c r="J82" s="3">
        <f t="shared" si="6"/>
        <v>2.5459266549665571E-2</v>
      </c>
      <c r="K82" s="3">
        <f t="shared" si="7"/>
        <v>2.5459266549665571E-2</v>
      </c>
      <c r="L82" s="24">
        <v>9.2501395843065506E-2</v>
      </c>
      <c r="M82" s="24">
        <v>1.8292735786915599E-3</v>
      </c>
      <c r="N82" s="24">
        <v>3.9423956939298499</v>
      </c>
      <c r="O82" s="24">
        <v>4.5612502146471903E-2</v>
      </c>
      <c r="P82" s="24">
        <v>1.01608308027865</v>
      </c>
      <c r="Q82" s="24">
        <v>8.9523378657528595E-3</v>
      </c>
      <c r="R82" s="24">
        <v>0.123520519189559</v>
      </c>
      <c r="S82" s="25">
        <v>1458.92088328145</v>
      </c>
      <c r="T82" s="25">
        <v>14.545467439028201</v>
      </c>
      <c r="U82" s="25">
        <v>1459.29240842545</v>
      </c>
      <c r="V82" s="25">
        <v>37.568939903033701</v>
      </c>
      <c r="W82" s="28">
        <v>50</v>
      </c>
    </row>
    <row r="83" spans="1:24" s="5" customFormat="1" ht="16" x14ac:dyDescent="0.2">
      <c r="A83" s="11">
        <v>2</v>
      </c>
      <c r="B83" s="26" t="s">
        <v>118</v>
      </c>
      <c r="C83" s="26" t="s">
        <v>534</v>
      </c>
      <c r="D83" s="26">
        <v>1.7788436286118201</v>
      </c>
      <c r="E83" s="26">
        <v>1.95586216163934E-2</v>
      </c>
      <c r="F83" s="26">
        <v>0.13185710623294</v>
      </c>
      <c r="G83" s="26">
        <v>1.14520111812859E-3</v>
      </c>
      <c r="H83" s="26">
        <v>0.38812592188544698</v>
      </c>
      <c r="I83" s="6">
        <f t="shared" si="5"/>
        <v>50.157932927246129</v>
      </c>
      <c r="J83" s="7">
        <f t="shared" si="6"/>
        <v>49.842067072753871</v>
      </c>
      <c r="K83" s="3">
        <v>10</v>
      </c>
      <c r="L83" s="26">
        <v>9.8608872722193097E-2</v>
      </c>
      <c r="M83" s="26">
        <v>1.1124936114146301E-3</v>
      </c>
      <c r="N83" s="26">
        <v>7.5837486861835099</v>
      </c>
      <c r="O83" s="26">
        <v>6.5120740709863706E-2</v>
      </c>
      <c r="P83" s="26">
        <v>0.90598091887095</v>
      </c>
      <c r="Q83" s="26">
        <v>1.63628866301695E-2</v>
      </c>
      <c r="R83" s="26">
        <v>0.38146306001827801</v>
      </c>
      <c r="S83" s="26">
        <v>798.32649951177495</v>
      </c>
      <c r="T83" s="26">
        <v>6.5274080982803504</v>
      </c>
      <c r="U83" s="26">
        <v>1591.6255972305401</v>
      </c>
      <c r="V83" s="26">
        <v>20.9019957018509</v>
      </c>
      <c r="W83" s="28">
        <v>50</v>
      </c>
      <c r="X83" s="22"/>
    </row>
    <row r="84" spans="1:24" ht="16" x14ac:dyDescent="0.2">
      <c r="A84" s="11">
        <v>2</v>
      </c>
      <c r="B84" s="24" t="s">
        <v>119</v>
      </c>
      <c r="C84" s="24" t="s">
        <v>540</v>
      </c>
      <c r="D84" s="25">
        <v>2.27667089813075</v>
      </c>
      <c r="E84" s="25">
        <v>2.8845715068427698E-2</v>
      </c>
      <c r="F84" s="25">
        <v>0.199245602380687</v>
      </c>
      <c r="G84" s="25">
        <v>1.3719657675013699E-3</v>
      </c>
      <c r="H84" s="25">
        <v>0.41187331788755099</v>
      </c>
      <c r="I84" s="13">
        <f t="shared" si="5"/>
        <v>92.309247194491633</v>
      </c>
      <c r="J84" s="3">
        <f t="shared" si="6"/>
        <v>7.6907528055083603</v>
      </c>
      <c r="K84" s="3">
        <v>0</v>
      </c>
      <c r="L84" s="24">
        <v>8.3300639363052306E-2</v>
      </c>
      <c r="M84" s="24">
        <v>9.9889025345110201E-4</v>
      </c>
      <c r="N84" s="24">
        <v>5.0145806412172904</v>
      </c>
      <c r="O84" s="24">
        <v>3.5465052728241603E-2</v>
      </c>
      <c r="P84" s="24">
        <v>1.0606058272721</v>
      </c>
      <c r="Q84" s="24">
        <v>6.1176723262128703E-2</v>
      </c>
      <c r="R84" s="24">
        <v>0.19266323892846701</v>
      </c>
      <c r="S84" s="25">
        <v>1171.1083103758101</v>
      </c>
      <c r="T84" s="25">
        <v>7.3704032800972801</v>
      </c>
      <c r="U84" s="25">
        <v>1268.6792991696</v>
      </c>
      <c r="V84" s="25">
        <v>23.4119161386256</v>
      </c>
      <c r="W84" s="28">
        <v>50</v>
      </c>
    </row>
    <row r="85" spans="1:24" ht="16" x14ac:dyDescent="0.2">
      <c r="A85" s="11">
        <v>2</v>
      </c>
      <c r="B85" s="24" t="s">
        <v>120</v>
      </c>
      <c r="C85" s="24" t="s">
        <v>543</v>
      </c>
      <c r="D85" s="25">
        <v>2.76403578534133</v>
      </c>
      <c r="E85" s="25">
        <v>4.9581403600075603E-2</v>
      </c>
      <c r="F85" s="25">
        <v>0.22876254120036299</v>
      </c>
      <c r="G85" s="25">
        <v>1.55344539037986E-3</v>
      </c>
      <c r="H85" s="25">
        <v>0.32942426481034798</v>
      </c>
      <c r="I85" s="13">
        <f t="shared" si="5"/>
        <v>96.611872562741937</v>
      </c>
      <c r="J85" s="3">
        <f t="shared" si="6"/>
        <v>3.3881274372580594</v>
      </c>
      <c r="K85" s="3">
        <v>0</v>
      </c>
      <c r="L85" s="24">
        <v>8.8022362003034704E-2</v>
      </c>
      <c r="M85" s="24">
        <v>1.447199716552E-3</v>
      </c>
      <c r="N85" s="24">
        <v>4.3668439533822196</v>
      </c>
      <c r="O85" s="24">
        <v>2.8684799218197402E-2</v>
      </c>
      <c r="P85" s="24">
        <v>1.05771253246063</v>
      </c>
      <c r="Q85" s="24">
        <v>2.3191964173008301E-2</v>
      </c>
      <c r="R85" s="24">
        <v>8.1765084226769799E-2</v>
      </c>
      <c r="S85" s="25">
        <v>1327.8157588428401</v>
      </c>
      <c r="T85" s="25">
        <v>8.1530449007178696</v>
      </c>
      <c r="U85" s="25">
        <v>1374.3815574845901</v>
      </c>
      <c r="V85" s="25">
        <v>30.372853023018699</v>
      </c>
      <c r="W85" s="28">
        <v>50</v>
      </c>
    </row>
    <row r="86" spans="1:24" ht="16" x14ac:dyDescent="0.2">
      <c r="A86" s="11">
        <v>2</v>
      </c>
      <c r="B86" s="24" t="s">
        <v>121</v>
      </c>
      <c r="C86" s="24" t="s">
        <v>546</v>
      </c>
      <c r="D86" s="25">
        <v>3.2585160881829101</v>
      </c>
      <c r="E86" s="25">
        <v>5.0424109218241503E-2</v>
      </c>
      <c r="F86" s="25">
        <v>0.254006019498626</v>
      </c>
      <c r="G86" s="25">
        <v>1.7474366121670601E-3</v>
      </c>
      <c r="H86" s="25">
        <v>0.346129824853247</v>
      </c>
      <c r="I86" s="13">
        <f t="shared" si="5"/>
        <v>98.094398746996418</v>
      </c>
      <c r="J86" s="3">
        <f t="shared" si="6"/>
        <v>1.9056012530035749</v>
      </c>
      <c r="K86" s="3">
        <v>0</v>
      </c>
      <c r="L86" s="24">
        <v>9.3482368572069097E-2</v>
      </c>
      <c r="M86" s="24">
        <v>1.35872781106458E-3</v>
      </c>
      <c r="N86" s="24">
        <v>3.93366764715448</v>
      </c>
      <c r="O86" s="24">
        <v>2.68125476447632E-2</v>
      </c>
      <c r="P86" s="24">
        <v>1.8183956756023001</v>
      </c>
      <c r="Q86" s="24">
        <v>1.7652207806367799E-2</v>
      </c>
      <c r="R86" s="24">
        <v>9.27735344011614E-2</v>
      </c>
      <c r="S86" s="25">
        <v>1458.8654971568801</v>
      </c>
      <c r="T86" s="25">
        <v>8.9982081331084203</v>
      </c>
      <c r="U86" s="25">
        <v>1487.2057077586701</v>
      </c>
      <c r="V86" s="25">
        <v>27.9223141216148</v>
      </c>
      <c r="W86" s="28">
        <v>50</v>
      </c>
    </row>
    <row r="87" spans="1:24" ht="16" x14ac:dyDescent="0.2">
      <c r="A87" s="11">
        <v>2</v>
      </c>
      <c r="B87" s="24" t="s">
        <v>122</v>
      </c>
      <c r="C87" s="24" t="s">
        <v>550</v>
      </c>
      <c r="D87" s="25">
        <v>3.0062261426298398</v>
      </c>
      <c r="E87" s="25">
        <v>3.6325604529907497E-2</v>
      </c>
      <c r="F87" s="25">
        <v>0.24056751423622399</v>
      </c>
      <c r="G87" s="25">
        <v>1.52198652689732E-3</v>
      </c>
      <c r="H87" s="25">
        <v>0.27976531872353499</v>
      </c>
      <c r="I87" s="13">
        <f t="shared" si="5"/>
        <v>96.367318717512802</v>
      </c>
      <c r="J87" s="3">
        <f t="shared" si="6"/>
        <v>3.6326812824871935</v>
      </c>
      <c r="K87" s="3">
        <v>0</v>
      </c>
      <c r="L87" s="24">
        <v>9.1124401609058298E-2</v>
      </c>
      <c r="M87" s="24">
        <v>1.0989042092174801E-3</v>
      </c>
      <c r="N87" s="24">
        <v>4.1523755839722201</v>
      </c>
      <c r="O87" s="24">
        <v>2.54816537369278E-2</v>
      </c>
      <c r="P87" s="24">
        <v>1.35654125570119</v>
      </c>
      <c r="Q87" s="24">
        <v>2.7980891793245199E-2</v>
      </c>
      <c r="R87" s="24">
        <v>0.254339619317279</v>
      </c>
      <c r="S87" s="25">
        <v>1389.46485479797</v>
      </c>
      <c r="T87" s="25">
        <v>7.9070876150881801</v>
      </c>
      <c r="U87" s="25">
        <v>1441.84239355148</v>
      </c>
      <c r="V87" s="25">
        <v>22.915297629064501</v>
      </c>
      <c r="W87" s="28">
        <v>50</v>
      </c>
    </row>
    <row r="88" spans="1:24" s="5" customFormat="1" ht="16" x14ac:dyDescent="0.2">
      <c r="A88" s="11">
        <v>2</v>
      </c>
      <c r="B88" s="26" t="s">
        <v>123</v>
      </c>
      <c r="C88" s="26" t="s">
        <v>551</v>
      </c>
      <c r="D88" s="26">
        <v>2.9022618319233202</v>
      </c>
      <c r="E88" s="26">
        <v>6.3268155108934104E-2</v>
      </c>
      <c r="F88" s="26">
        <v>0.202258678927101</v>
      </c>
      <c r="G88" s="26">
        <v>5.0860603733233504E-3</v>
      </c>
      <c r="H88" s="26">
        <v>0.63609731743158704</v>
      </c>
      <c r="I88" s="6">
        <f t="shared" si="5"/>
        <v>69.586948680940878</v>
      </c>
      <c r="J88" s="7">
        <f t="shared" si="6"/>
        <v>30.413051319059115</v>
      </c>
      <c r="K88" s="3">
        <v>10</v>
      </c>
      <c r="L88" s="26">
        <v>0.104483787106424</v>
      </c>
      <c r="M88" s="26">
        <v>2.0289183026399398E-3</v>
      </c>
      <c r="N88" s="26">
        <v>4.98261222588929</v>
      </c>
      <c r="O88" s="26">
        <v>0.13269129147658401</v>
      </c>
      <c r="P88" s="26">
        <v>1.04262587183519</v>
      </c>
      <c r="Q88" s="26">
        <v>6.09591666735348E-2</v>
      </c>
      <c r="R88" s="26">
        <v>0.601731452199464</v>
      </c>
      <c r="S88" s="26">
        <v>1186.61646773692</v>
      </c>
      <c r="T88" s="26">
        <v>27.372042449235</v>
      </c>
      <c r="U88" s="26">
        <v>1705.2284806704299</v>
      </c>
      <c r="V88" s="26">
        <v>38.4292126941898</v>
      </c>
      <c r="W88" s="28">
        <v>50</v>
      </c>
      <c r="X88" s="22"/>
    </row>
    <row r="89" spans="1:24" ht="16" x14ac:dyDescent="0.2">
      <c r="A89" s="11">
        <v>2</v>
      </c>
      <c r="B89" s="24" t="s">
        <v>124</v>
      </c>
      <c r="C89" s="24" t="s">
        <v>552</v>
      </c>
      <c r="D89" s="25">
        <v>2.8065710859110502</v>
      </c>
      <c r="E89" s="25">
        <v>6.0631493904235598E-2</v>
      </c>
      <c r="F89" s="25">
        <v>0.234127999543225</v>
      </c>
      <c r="G89" s="25">
        <v>2.5176222209244699E-3</v>
      </c>
      <c r="H89" s="25">
        <v>0.36837265221492899</v>
      </c>
      <c r="I89" s="13">
        <f t="shared" si="5"/>
        <v>99.969100764890413</v>
      </c>
      <c r="J89" s="3">
        <f t="shared" si="6"/>
        <v>3.0899235109593803E-2</v>
      </c>
      <c r="K89" s="3">
        <f t="shared" si="7"/>
        <v>3.0899235109593803E-2</v>
      </c>
      <c r="L89" s="24">
        <v>8.7370085605743497E-2</v>
      </c>
      <c r="M89" s="24">
        <v>1.8771116362716199E-3</v>
      </c>
      <c r="N89" s="24">
        <v>4.27524472921246</v>
      </c>
      <c r="O89" s="24">
        <v>4.63055029972484E-2</v>
      </c>
      <c r="P89" s="24">
        <v>2.3724611601275098</v>
      </c>
      <c r="Q89" s="24">
        <v>3.7726631881385198E-2</v>
      </c>
      <c r="R89" s="24">
        <v>0.17682063228757799</v>
      </c>
      <c r="S89" s="25">
        <v>1355.59410130166</v>
      </c>
      <c r="T89" s="25">
        <v>13.096903742402301</v>
      </c>
      <c r="U89" s="25">
        <v>1356.0130989772299</v>
      </c>
      <c r="V89" s="25">
        <v>42.280086613819101</v>
      </c>
      <c r="W89" s="28">
        <v>50</v>
      </c>
    </row>
    <row r="90" spans="1:24" ht="16" x14ac:dyDescent="0.2">
      <c r="A90" s="11">
        <v>2</v>
      </c>
      <c r="B90" s="24" t="s">
        <v>125</v>
      </c>
      <c r="C90" s="24" t="s">
        <v>553</v>
      </c>
      <c r="D90" s="25">
        <v>3.1740541146884902</v>
      </c>
      <c r="E90" s="25">
        <v>4.1743355820704202E-2</v>
      </c>
      <c r="F90" s="25">
        <v>0.25478584225678902</v>
      </c>
      <c r="G90" s="25">
        <v>1.40984736126293E-3</v>
      </c>
      <c r="H90" s="25">
        <v>0.46009268446718199</v>
      </c>
      <c r="I90" s="13">
        <f t="shared" si="5"/>
        <v>102.8073089413775</v>
      </c>
      <c r="J90" s="3">
        <f t="shared" si="6"/>
        <v>-2.8073089413775065</v>
      </c>
      <c r="K90" s="3">
        <v>0</v>
      </c>
      <c r="L90" s="24">
        <v>9.0221331783336897E-2</v>
      </c>
      <c r="M90" s="24">
        <v>1.0661082745744E-3</v>
      </c>
      <c r="N90" s="24">
        <v>3.9223564253203298</v>
      </c>
      <c r="O90" s="24">
        <v>2.1967483751665701E-2</v>
      </c>
      <c r="P90" s="24">
        <v>2.3353355203640298</v>
      </c>
      <c r="Q90" s="24">
        <v>1.7527690943560801E-2</v>
      </c>
      <c r="R90" s="24">
        <v>0.108295309953907</v>
      </c>
      <c r="S90" s="25">
        <v>1462.95606197298</v>
      </c>
      <c r="T90" s="25">
        <v>7.249965983719</v>
      </c>
      <c r="U90" s="25">
        <v>1423.0078357631</v>
      </c>
      <c r="V90" s="25">
        <v>22.621121787047102</v>
      </c>
      <c r="W90" s="28">
        <v>50</v>
      </c>
    </row>
    <row r="91" spans="1:24" ht="16" x14ac:dyDescent="0.2">
      <c r="A91" s="11">
        <v>2</v>
      </c>
      <c r="B91" s="24" t="s">
        <v>126</v>
      </c>
      <c r="C91" s="24" t="s">
        <v>554</v>
      </c>
      <c r="D91" s="25">
        <v>3.1465896900832702</v>
      </c>
      <c r="E91" s="25">
        <v>4.6524958990186403E-2</v>
      </c>
      <c r="F91" s="25">
        <v>0.25113871621742601</v>
      </c>
      <c r="G91" s="25">
        <v>1.7059031368042801E-3</v>
      </c>
      <c r="H91" s="25">
        <v>4.9065945868137999E-2</v>
      </c>
      <c r="I91" s="13">
        <f t="shared" si="5"/>
        <v>100.50753609599548</v>
      </c>
      <c r="J91" s="3">
        <f t="shared" si="6"/>
        <v>-0.50753609599547556</v>
      </c>
      <c r="K91" s="3">
        <v>0</v>
      </c>
      <c r="L91" s="24">
        <v>9.0960974668645903E-2</v>
      </c>
      <c r="M91" s="24">
        <v>1.47532049866257E-3</v>
      </c>
      <c r="N91" s="24">
        <v>3.9816392786127199</v>
      </c>
      <c r="O91" s="24">
        <v>2.7508289494816401E-2</v>
      </c>
      <c r="P91" s="24">
        <v>1.9640012095262001</v>
      </c>
      <c r="Q91" s="24">
        <v>4.0016215708584303E-2</v>
      </c>
      <c r="R91" s="24">
        <v>0.41241789729744299</v>
      </c>
      <c r="S91" s="25">
        <v>1444.1205181425601</v>
      </c>
      <c r="T91" s="25">
        <v>8.8008991908531709</v>
      </c>
      <c r="U91" s="25">
        <v>1436.82809691332</v>
      </c>
      <c r="V91" s="25">
        <v>31.714057153534601</v>
      </c>
      <c r="W91" s="28">
        <v>50</v>
      </c>
    </row>
    <row r="92" spans="1:24" s="1" customFormat="1" ht="16" x14ac:dyDescent="0.2">
      <c r="A92" s="11">
        <v>2</v>
      </c>
      <c r="B92" s="24" t="s">
        <v>127</v>
      </c>
      <c r="C92" s="24" t="s">
        <v>555</v>
      </c>
      <c r="D92" s="25">
        <v>3.3273690924402302</v>
      </c>
      <c r="E92" s="25">
        <v>5.3304768311961397E-2</v>
      </c>
      <c r="F92" s="25">
        <v>0.25896314820641098</v>
      </c>
      <c r="G92" s="25">
        <v>1.8377336115556701E-3</v>
      </c>
      <c r="H92" s="25">
        <v>0.29329189128637501</v>
      </c>
      <c r="I92" s="13">
        <f t="shared" si="5"/>
        <v>100.01659201381543</v>
      </c>
      <c r="J92" s="3">
        <f t="shared" si="6"/>
        <v>-1.6592013815430739E-2</v>
      </c>
      <c r="K92" s="3">
        <f t="shared" si="7"/>
        <v>-1.6592013815430739E-2</v>
      </c>
      <c r="L92" s="24">
        <v>9.3425592085606093E-2</v>
      </c>
      <c r="M92" s="24">
        <v>1.49948152157817E-3</v>
      </c>
      <c r="N92" s="24">
        <v>3.8547244488654102</v>
      </c>
      <c r="O92" s="24">
        <v>2.7640182242592001E-2</v>
      </c>
      <c r="P92" s="24">
        <v>1.6112308170590399</v>
      </c>
      <c r="Q92" s="24">
        <v>2.9135239171657199E-2</v>
      </c>
      <c r="R92" s="24">
        <v>0.17669248038207799</v>
      </c>
      <c r="S92" s="25">
        <v>1484.2751147704701</v>
      </c>
      <c r="T92" s="25">
        <v>9.4261549809330099</v>
      </c>
      <c r="U92" s="25">
        <v>1484.02888449293</v>
      </c>
      <c r="V92" s="25">
        <v>30.664204976394601</v>
      </c>
      <c r="W92" s="28">
        <v>50</v>
      </c>
    </row>
    <row r="93" spans="1:24" s="5" customFormat="1" ht="16" x14ac:dyDescent="0.2">
      <c r="A93" s="11">
        <v>2</v>
      </c>
      <c r="B93" s="26" t="s">
        <v>128</v>
      </c>
      <c r="C93" s="26" t="s">
        <v>556</v>
      </c>
      <c r="D93" s="26">
        <v>3.1955635658995898</v>
      </c>
      <c r="E93" s="26">
        <v>8.2760104531528197E-2</v>
      </c>
      <c r="F93" s="26">
        <v>0.13721271960544701</v>
      </c>
      <c r="G93" s="26">
        <v>4.4277383147144998E-3</v>
      </c>
      <c r="H93" s="26">
        <v>0.901048386751792</v>
      </c>
      <c r="I93" s="6">
        <f t="shared" si="5"/>
        <v>32.289094942676485</v>
      </c>
      <c r="J93" s="7">
        <f t="shared" si="6"/>
        <v>67.710905057323515</v>
      </c>
      <c r="K93" s="3">
        <v>10</v>
      </c>
      <c r="L93" s="26">
        <v>0.17128503683657201</v>
      </c>
      <c r="M93" s="26">
        <v>2.5578134355525202E-3</v>
      </c>
      <c r="N93" s="26">
        <v>7.6050789258943698</v>
      </c>
      <c r="O93" s="26">
        <v>0.27458844969505097</v>
      </c>
      <c r="P93" s="26">
        <v>1.4261474575013999</v>
      </c>
      <c r="Q93" s="26">
        <v>3.8540537953015798E-2</v>
      </c>
      <c r="R93" s="26">
        <v>0.69655170104821595</v>
      </c>
      <c r="S93" s="26">
        <v>827.02603123507402</v>
      </c>
      <c r="T93" s="26">
        <v>25.213745950521599</v>
      </c>
      <c r="U93" s="26">
        <v>2561.3168554377598</v>
      </c>
      <c r="V93" s="26">
        <v>24.9526785420618</v>
      </c>
      <c r="W93" s="28">
        <v>50</v>
      </c>
      <c r="X93" s="22"/>
    </row>
    <row r="94" spans="1:24" ht="16" x14ac:dyDescent="0.2">
      <c r="A94" s="11">
        <v>2</v>
      </c>
      <c r="B94" s="24" t="s">
        <v>129</v>
      </c>
      <c r="C94" s="24" t="s">
        <v>557</v>
      </c>
      <c r="D94" s="25">
        <v>2.81909910822377</v>
      </c>
      <c r="E94" s="25">
        <v>5.3068151444765801E-2</v>
      </c>
      <c r="F94" s="25">
        <v>0.23373148184780401</v>
      </c>
      <c r="G94" s="25">
        <v>1.6599555659780299E-3</v>
      </c>
      <c r="H94" s="25">
        <v>0.25816440474368102</v>
      </c>
      <c r="I94" s="13">
        <f t="shared" si="5"/>
        <v>99.033948010563051</v>
      </c>
      <c r="J94" s="3">
        <f t="shared" si="6"/>
        <v>0.96605198943695569</v>
      </c>
      <c r="K94" s="3">
        <v>0</v>
      </c>
      <c r="L94" s="24">
        <v>8.7647978547481104E-2</v>
      </c>
      <c r="M94" s="24">
        <v>1.61499375049211E-3</v>
      </c>
      <c r="N94" s="24">
        <v>4.2747000239201398</v>
      </c>
      <c r="O94" s="24">
        <v>3.1615028582967997E-2</v>
      </c>
      <c r="P94" s="24">
        <v>2.0163825365346799</v>
      </c>
      <c r="Q94" s="24">
        <v>2.1976925907895298E-2</v>
      </c>
      <c r="R94" s="24">
        <v>0.192462662265552</v>
      </c>
      <c r="S94" s="25">
        <v>1353.80580468637</v>
      </c>
      <c r="T94" s="25">
        <v>8.6760724420713995</v>
      </c>
      <c r="U94" s="25">
        <v>1367.0118498577599</v>
      </c>
      <c r="V94" s="25">
        <v>35.0014370385815</v>
      </c>
      <c r="W94" s="28">
        <v>50</v>
      </c>
    </row>
    <row r="95" spans="1:24" ht="16" x14ac:dyDescent="0.2">
      <c r="A95" s="11">
        <v>2</v>
      </c>
      <c r="B95" s="24" t="s">
        <v>130</v>
      </c>
      <c r="C95" s="24" t="s">
        <v>259</v>
      </c>
      <c r="D95" s="25">
        <v>2.6674267099095701</v>
      </c>
      <c r="E95" s="25">
        <v>6.4908601317873002E-2</v>
      </c>
      <c r="F95" s="25">
        <v>0.21997401769605501</v>
      </c>
      <c r="G95" s="25">
        <v>2.2039303906763899E-3</v>
      </c>
      <c r="H95" s="25">
        <v>0.20772709278294599</v>
      </c>
      <c r="I95" s="13">
        <f t="shared" si="5"/>
        <v>94.62681580245625</v>
      </c>
      <c r="J95" s="3">
        <f t="shared" si="6"/>
        <v>5.3731841975437451</v>
      </c>
      <c r="K95" s="3">
        <v>0</v>
      </c>
      <c r="L95" s="24">
        <v>8.7735398656224206E-2</v>
      </c>
      <c r="M95" s="24">
        <v>2.15510475140191E-3</v>
      </c>
      <c r="N95" s="24">
        <v>4.5488986503401501</v>
      </c>
      <c r="O95" s="24">
        <v>4.6580160063848901E-2</v>
      </c>
      <c r="P95" s="24">
        <v>2.2829461577124301</v>
      </c>
      <c r="Q95" s="24">
        <v>3.1047851256687398E-2</v>
      </c>
      <c r="R95" s="24">
        <v>0.23925180607809099</v>
      </c>
      <c r="S95" s="25">
        <v>1281.3440147189699</v>
      </c>
      <c r="T95" s="25">
        <v>11.629367429999199</v>
      </c>
      <c r="U95" s="25">
        <v>1354.1024326485999</v>
      </c>
      <c r="V95" s="25">
        <v>47.160926228262298</v>
      </c>
      <c r="W95" s="28">
        <v>50</v>
      </c>
    </row>
    <row r="96" spans="1:24" ht="16" x14ac:dyDescent="0.2">
      <c r="A96" s="11">
        <v>2</v>
      </c>
      <c r="B96" s="24" t="s">
        <v>131</v>
      </c>
      <c r="C96" s="24" t="s">
        <v>260</v>
      </c>
      <c r="D96" s="25">
        <v>3.1393927053381701</v>
      </c>
      <c r="E96" s="25">
        <v>4.3172093761908101E-2</v>
      </c>
      <c r="F96" s="25">
        <v>0.24622108227245301</v>
      </c>
      <c r="G96" s="25">
        <v>1.9791302423018001E-3</v>
      </c>
      <c r="H96" s="25">
        <v>0.46327349929136802</v>
      </c>
      <c r="I96" s="13">
        <f t="shared" si="5"/>
        <v>97.027521126672085</v>
      </c>
      <c r="J96" s="3">
        <f t="shared" si="6"/>
        <v>2.9724788733279106</v>
      </c>
      <c r="K96" s="3">
        <v>0</v>
      </c>
      <c r="L96" s="24">
        <v>9.1972352240538596E-2</v>
      </c>
      <c r="M96" s="24">
        <v>1.1039471326806799E-3</v>
      </c>
      <c r="N96" s="24">
        <v>4.0638082675382696</v>
      </c>
      <c r="O96" s="24">
        <v>3.2780035849922E-2</v>
      </c>
      <c r="P96" s="24">
        <v>1.17343711156581</v>
      </c>
      <c r="Q96" s="24">
        <v>4.3212200263212902E-2</v>
      </c>
      <c r="R96" s="24">
        <v>0.23038442559373101</v>
      </c>
      <c r="S96" s="25">
        <v>1418.6531579248799</v>
      </c>
      <c r="T96" s="25">
        <v>10.234846128995599</v>
      </c>
      <c r="U96" s="25">
        <v>1462.1141934284699</v>
      </c>
      <c r="V96" s="25">
        <v>23.469722247716799</v>
      </c>
      <c r="W96" s="28">
        <v>50</v>
      </c>
    </row>
    <row r="97" spans="1:24" ht="16" x14ac:dyDescent="0.2">
      <c r="A97" s="11">
        <v>2</v>
      </c>
      <c r="B97" s="24" t="s">
        <v>132</v>
      </c>
      <c r="C97" s="24" t="s">
        <v>261</v>
      </c>
      <c r="D97" s="25">
        <v>2.3775783768737102</v>
      </c>
      <c r="E97" s="25">
        <v>3.8629297847372998E-2</v>
      </c>
      <c r="F97" s="25">
        <v>0.21203585675140199</v>
      </c>
      <c r="G97" s="25">
        <v>1.2860792059899799E-3</v>
      </c>
      <c r="H97" s="25">
        <v>0.18593064466433801</v>
      </c>
      <c r="I97" s="13">
        <f t="shared" si="5"/>
        <v>102.35465524797287</v>
      </c>
      <c r="J97" s="3">
        <f t="shared" si="6"/>
        <v>-2.35465524797287</v>
      </c>
      <c r="K97" s="3">
        <v>0</v>
      </c>
      <c r="L97" s="24">
        <v>8.1123242717407104E-2</v>
      </c>
      <c r="M97" s="24">
        <v>1.3217718853108899E-3</v>
      </c>
      <c r="N97" s="24">
        <v>4.7139072110408096</v>
      </c>
      <c r="O97" s="24">
        <v>2.86194507185191E-2</v>
      </c>
      <c r="P97" s="24">
        <v>1.5795785417121799</v>
      </c>
      <c r="Q97" s="24">
        <v>1.4132140553431601E-2</v>
      </c>
      <c r="R97" s="24">
        <v>0.210564937967164</v>
      </c>
      <c r="S97" s="25">
        <v>1239.5180167563201</v>
      </c>
      <c r="T97" s="25">
        <v>6.8376249782427596</v>
      </c>
      <c r="U97" s="25">
        <v>1211.0030694289001</v>
      </c>
      <c r="V97" s="25">
        <v>31.902821881106298</v>
      </c>
      <c r="W97" s="28">
        <v>50</v>
      </c>
    </row>
    <row r="98" spans="1:24" ht="16" x14ac:dyDescent="0.2">
      <c r="A98" s="11">
        <v>2</v>
      </c>
      <c r="B98" s="24" t="s">
        <v>133</v>
      </c>
      <c r="C98" s="24" t="s">
        <v>262</v>
      </c>
      <c r="D98" s="25">
        <v>3.0058027972295198</v>
      </c>
      <c r="E98" s="25">
        <v>4.0191857924643998E-2</v>
      </c>
      <c r="F98" s="25">
        <v>0.240018933012804</v>
      </c>
      <c r="G98" s="25">
        <v>1.41686293475297E-3</v>
      </c>
      <c r="H98" s="25">
        <v>0.140892038290997</v>
      </c>
      <c r="I98" s="13">
        <f t="shared" ref="I98:I109" si="8">(S98/U98)*100</f>
        <v>97.321507145477568</v>
      </c>
      <c r="J98" s="3">
        <f t="shared" ref="J98:J161" si="9">(1-(S98/U98))*100</f>
        <v>2.6784928545224296</v>
      </c>
      <c r="K98" s="3">
        <v>0</v>
      </c>
      <c r="L98" s="24">
        <v>9.04330748308559E-2</v>
      </c>
      <c r="M98" s="24">
        <v>1.27218632834838E-3</v>
      </c>
      <c r="N98" s="24">
        <v>4.1530495682583402</v>
      </c>
      <c r="O98" s="24">
        <v>2.5352002406782901E-2</v>
      </c>
      <c r="P98" s="24">
        <v>2.0337641521390899</v>
      </c>
      <c r="Q98" s="24">
        <v>1.8420625293443599E-2</v>
      </c>
      <c r="R98" s="24">
        <v>0.33968245770994998</v>
      </c>
      <c r="S98" s="25">
        <v>1386.6366715168399</v>
      </c>
      <c r="T98" s="25">
        <v>7.3647460870183297</v>
      </c>
      <c r="U98" s="25">
        <v>1424.79983324146</v>
      </c>
      <c r="V98" s="25">
        <v>27.006147291069801</v>
      </c>
      <c r="W98" s="28">
        <v>50</v>
      </c>
    </row>
    <row r="99" spans="1:24" ht="16" x14ac:dyDescent="0.2">
      <c r="A99" s="11">
        <v>2</v>
      </c>
      <c r="B99" s="24" t="s">
        <v>134</v>
      </c>
      <c r="C99" s="24" t="s">
        <v>263</v>
      </c>
      <c r="D99" s="25">
        <v>2.8434531490695698</v>
      </c>
      <c r="E99" s="25">
        <v>6.6448198191973604E-2</v>
      </c>
      <c r="F99" s="25">
        <v>0.234570977505071</v>
      </c>
      <c r="G99" s="25">
        <v>2.3108623544334001E-3</v>
      </c>
      <c r="H99" s="25">
        <v>0.12909561543800299</v>
      </c>
      <c r="I99" s="13">
        <f t="shared" si="8"/>
        <v>100.5340245439221</v>
      </c>
      <c r="J99" s="3">
        <f t="shared" si="9"/>
        <v>-0.53402454392210696</v>
      </c>
      <c r="K99" s="3">
        <v>0</v>
      </c>
      <c r="L99" s="24">
        <v>8.7756152266961998E-2</v>
      </c>
      <c r="M99" s="24">
        <v>2.0143668914126699E-3</v>
      </c>
      <c r="N99" s="24">
        <v>4.2705944871189203</v>
      </c>
      <c r="O99" s="24">
        <v>4.2795554618948302E-2</v>
      </c>
      <c r="P99" s="24">
        <v>1.82451300851375</v>
      </c>
      <c r="Q99" s="24">
        <v>4.2682527785348597E-2</v>
      </c>
      <c r="R99" s="24">
        <v>0.41039856517690099</v>
      </c>
      <c r="S99" s="25">
        <v>1357.98723313294</v>
      </c>
      <c r="T99" s="25">
        <v>12.0753295087727</v>
      </c>
      <c r="U99" s="25">
        <v>1350.7737696700401</v>
      </c>
      <c r="V99" s="25">
        <v>46.481969328924798</v>
      </c>
      <c r="W99" s="28">
        <v>50</v>
      </c>
    </row>
    <row r="100" spans="1:24" ht="16" x14ac:dyDescent="0.2">
      <c r="A100" s="11">
        <v>2</v>
      </c>
      <c r="B100" s="24" t="s">
        <v>135</v>
      </c>
      <c r="C100" s="24" t="s">
        <v>264</v>
      </c>
      <c r="D100" s="25">
        <v>2.8899132738520499</v>
      </c>
      <c r="E100" s="25">
        <v>3.9708396821958501E-2</v>
      </c>
      <c r="F100" s="25">
        <v>0.23920554502059599</v>
      </c>
      <c r="G100" s="25">
        <v>1.4896630693760401E-3</v>
      </c>
      <c r="H100" s="25">
        <v>0.359582546785844</v>
      </c>
      <c r="I100" s="13">
        <f t="shared" si="8"/>
        <v>101.88155682634117</v>
      </c>
      <c r="J100" s="3">
        <f t="shared" si="9"/>
        <v>-1.8815568263411686</v>
      </c>
      <c r="K100" s="3">
        <v>0</v>
      </c>
      <c r="L100" s="24">
        <v>8.7225487477414501E-2</v>
      </c>
      <c r="M100" s="24">
        <v>1.1272246376853299E-3</v>
      </c>
      <c r="N100" s="24">
        <v>4.1748670877862697</v>
      </c>
      <c r="O100" s="24">
        <v>2.53616179654702E-2</v>
      </c>
      <c r="P100" s="24">
        <v>2.4977256870632298</v>
      </c>
      <c r="Q100" s="24">
        <v>2.13359286607946E-2</v>
      </c>
      <c r="R100" s="24">
        <v>0.14623173086097699</v>
      </c>
      <c r="S100" s="25">
        <v>1382.3896143940999</v>
      </c>
      <c r="T100" s="25">
        <v>7.7541645631910798</v>
      </c>
      <c r="U100" s="25">
        <v>1356.85953125982</v>
      </c>
      <c r="V100" s="25">
        <v>25.0841725847629</v>
      </c>
      <c r="W100" s="28">
        <v>50</v>
      </c>
    </row>
    <row r="101" spans="1:24" ht="16" x14ac:dyDescent="0.2">
      <c r="A101" s="11">
        <v>2</v>
      </c>
      <c r="B101" s="24" t="s">
        <v>136</v>
      </c>
      <c r="C101" s="24" t="s">
        <v>265</v>
      </c>
      <c r="D101" s="25">
        <v>2.7197716323740999</v>
      </c>
      <c r="E101" s="25">
        <v>3.0099054187314601E-2</v>
      </c>
      <c r="F101" s="25">
        <v>0.23064286759035499</v>
      </c>
      <c r="G101" s="25">
        <v>1.38356409848207E-3</v>
      </c>
      <c r="H101" s="25">
        <v>0.243000864027066</v>
      </c>
      <c r="I101" s="13">
        <f t="shared" si="8"/>
        <v>101.41049776411448</v>
      </c>
      <c r="J101" s="3">
        <f t="shared" si="9"/>
        <v>-1.4104977641144822</v>
      </c>
      <c r="K101" s="3">
        <v>0</v>
      </c>
      <c r="L101" s="24">
        <v>8.5464806279582195E-2</v>
      </c>
      <c r="M101" s="24">
        <v>9.823381437352259E-4</v>
      </c>
      <c r="N101" s="24">
        <v>4.3294608781083896</v>
      </c>
      <c r="O101" s="24">
        <v>2.7518744879721699E-2</v>
      </c>
      <c r="P101" s="24">
        <v>1.3045279277399799</v>
      </c>
      <c r="Q101" s="24">
        <v>2.51724252370359E-2</v>
      </c>
      <c r="R101" s="24">
        <v>0.37003690254887101</v>
      </c>
      <c r="S101" s="25">
        <v>1337.71333061054</v>
      </c>
      <c r="T101" s="25">
        <v>7.2600134155657203</v>
      </c>
      <c r="U101" s="25">
        <v>1319.1073509195501</v>
      </c>
      <c r="V101" s="25">
        <v>22.244642776176601</v>
      </c>
      <c r="W101" s="28">
        <v>50</v>
      </c>
    </row>
    <row r="102" spans="1:24" ht="16" x14ac:dyDescent="0.2">
      <c r="A102" s="11">
        <v>2</v>
      </c>
      <c r="B102" s="24" t="s">
        <v>137</v>
      </c>
      <c r="C102" s="24" t="s">
        <v>266</v>
      </c>
      <c r="D102" s="25">
        <v>3.1590022252960201</v>
      </c>
      <c r="E102" s="25">
        <v>5.0077957072467698E-2</v>
      </c>
      <c r="F102" s="25">
        <v>0.25268353589744502</v>
      </c>
      <c r="G102" s="25">
        <v>2.2816406145423599E-3</v>
      </c>
      <c r="H102" s="25">
        <v>0.47599524745564697</v>
      </c>
      <c r="I102" s="13">
        <f t="shared" si="8"/>
        <v>101.54796399320658</v>
      </c>
      <c r="J102" s="3">
        <f t="shared" si="9"/>
        <v>-1.5479639932065803</v>
      </c>
      <c r="K102" s="3">
        <v>0</v>
      </c>
      <c r="L102" s="24">
        <v>9.0589069788760995E-2</v>
      </c>
      <c r="M102" s="24">
        <v>1.30005916736902E-3</v>
      </c>
      <c r="N102" s="24">
        <v>3.93736998592632</v>
      </c>
      <c r="O102" s="24">
        <v>3.2608859020400997E-2</v>
      </c>
      <c r="P102" s="24">
        <v>2.2789985216850499</v>
      </c>
      <c r="Q102" s="24">
        <v>4.3778448411385402E-2</v>
      </c>
      <c r="R102" s="24">
        <v>8.5755246288525003E-2</v>
      </c>
      <c r="S102" s="25">
        <v>1453.4033744240401</v>
      </c>
      <c r="T102" s="25">
        <v>11.4164980526416</v>
      </c>
      <c r="U102" s="25">
        <v>1431.2481681279901</v>
      </c>
      <c r="V102" s="25">
        <v>27.772256762002201</v>
      </c>
      <c r="W102" s="28">
        <v>50</v>
      </c>
    </row>
    <row r="103" spans="1:24" ht="16" x14ac:dyDescent="0.2">
      <c r="A103" s="11">
        <v>2</v>
      </c>
      <c r="B103" s="24" t="s">
        <v>138</v>
      </c>
      <c r="C103" s="24" t="s">
        <v>267</v>
      </c>
      <c r="D103" s="25">
        <v>1.7864543377248601</v>
      </c>
      <c r="E103" s="25">
        <v>4.4078795574852898E-2</v>
      </c>
      <c r="F103" s="25">
        <v>0.171836570045454</v>
      </c>
      <c r="G103" s="25">
        <v>2.1355380386196398E-3</v>
      </c>
      <c r="H103" s="25">
        <v>0.40590114437124702</v>
      </c>
      <c r="I103" s="13">
        <f t="shared" si="8"/>
        <v>97.493729739931808</v>
      </c>
      <c r="J103" s="3">
        <f t="shared" si="9"/>
        <v>2.5062702600681885</v>
      </c>
      <c r="K103" s="3">
        <v>0</v>
      </c>
      <c r="L103" s="24">
        <v>7.4979157998546694E-2</v>
      </c>
      <c r="M103" s="24">
        <v>1.6744288399225199E-3</v>
      </c>
      <c r="N103" s="24">
        <v>5.8327969564314897</v>
      </c>
      <c r="O103" s="24">
        <v>7.4619985692875201E-2</v>
      </c>
      <c r="P103" s="24">
        <v>-2665.7492091499298</v>
      </c>
      <c r="Q103" s="24">
        <v>1147.64844658177</v>
      </c>
      <c r="R103" s="24">
        <v>0.15836772794591999</v>
      </c>
      <c r="S103" s="25">
        <v>1021.82124801456</v>
      </c>
      <c r="T103" s="25">
        <v>11.740931452635699</v>
      </c>
      <c r="U103" s="25">
        <v>1048.0891958285999</v>
      </c>
      <c r="V103" s="25">
        <v>44.361548633911497</v>
      </c>
      <c r="W103" s="28">
        <v>50</v>
      </c>
    </row>
    <row r="104" spans="1:24" ht="16" x14ac:dyDescent="0.2">
      <c r="A104" s="11">
        <v>2</v>
      </c>
      <c r="B104" s="24" t="s">
        <v>139</v>
      </c>
      <c r="C104" s="24" t="s">
        <v>268</v>
      </c>
      <c r="D104" s="25">
        <v>3.1401681188131598</v>
      </c>
      <c r="E104" s="25">
        <v>4.8721095179769101E-2</v>
      </c>
      <c r="F104" s="25">
        <v>0.25031037291263503</v>
      </c>
      <c r="G104" s="25">
        <v>2.01791772076462E-3</v>
      </c>
      <c r="H104" s="25">
        <v>0.31128506892589097</v>
      </c>
      <c r="I104" s="13">
        <f t="shared" si="8"/>
        <v>100.86002480502241</v>
      </c>
      <c r="J104" s="3">
        <f t="shared" si="9"/>
        <v>-0.86002480502240797</v>
      </c>
      <c r="K104" s="3">
        <v>0</v>
      </c>
      <c r="L104" s="24">
        <v>9.0426022461292097E-2</v>
      </c>
      <c r="M104" s="24">
        <v>1.29949311651765E-3</v>
      </c>
      <c r="N104" s="24">
        <v>3.9825500095878699</v>
      </c>
      <c r="O104" s="24">
        <v>3.1822622579732597E-2</v>
      </c>
      <c r="P104" s="24">
        <v>2.19274433751582</v>
      </c>
      <c r="Q104" s="24">
        <v>7.7360148466641299E-2</v>
      </c>
      <c r="R104" s="24">
        <v>0.22518605262830299</v>
      </c>
      <c r="S104" s="25">
        <v>1439.7579081429401</v>
      </c>
      <c r="T104" s="25">
        <v>10.4382966990916</v>
      </c>
      <c r="U104" s="25">
        <v>1427.4812156017299</v>
      </c>
      <c r="V104" s="25">
        <v>28.5505311882578</v>
      </c>
      <c r="W104" s="28">
        <v>50</v>
      </c>
    </row>
    <row r="105" spans="1:24" ht="16" x14ac:dyDescent="0.2">
      <c r="A105" s="11">
        <v>2</v>
      </c>
      <c r="B105" s="24" t="s">
        <v>140</v>
      </c>
      <c r="C105" s="24" t="s">
        <v>269</v>
      </c>
      <c r="D105" s="25">
        <v>5.05667118915248</v>
      </c>
      <c r="E105" s="25">
        <v>5.1018791587989602E-2</v>
      </c>
      <c r="F105" s="25">
        <v>0.32621538941404199</v>
      </c>
      <c r="G105" s="25">
        <v>1.9501183888535399E-3</v>
      </c>
      <c r="H105" s="25">
        <v>0.31723564763463502</v>
      </c>
      <c r="I105" s="13">
        <f t="shared" si="8"/>
        <v>99.727365239890048</v>
      </c>
      <c r="J105" s="3">
        <f t="shared" si="9"/>
        <v>0.27263476010995769</v>
      </c>
      <c r="K105" s="3">
        <v>0</v>
      </c>
      <c r="L105" s="24">
        <v>0.111853837016386</v>
      </c>
      <c r="M105" s="24">
        <v>1.1232717033387201E-3</v>
      </c>
      <c r="N105" s="24">
        <v>3.0626506939762201</v>
      </c>
      <c r="O105" s="24">
        <v>1.8497885393740199E-2</v>
      </c>
      <c r="P105" s="24">
        <v>1.5546531414812701</v>
      </c>
      <c r="Q105" s="24">
        <v>9.9520416746870205E-2</v>
      </c>
      <c r="R105" s="24">
        <v>0.30265188104191698</v>
      </c>
      <c r="S105" s="25">
        <v>1819.7483718134499</v>
      </c>
      <c r="T105" s="25">
        <v>9.4861758606243196</v>
      </c>
      <c r="U105" s="25">
        <v>1824.7232015366301</v>
      </c>
      <c r="V105" s="25">
        <v>18.2245670795247</v>
      </c>
      <c r="W105" s="28">
        <v>50</v>
      </c>
    </row>
    <row r="106" spans="1:24" s="1" customFormat="1" ht="16" x14ac:dyDescent="0.2">
      <c r="A106" s="11">
        <v>2</v>
      </c>
      <c r="B106" s="24" t="s">
        <v>141</v>
      </c>
      <c r="C106" s="24" t="s">
        <v>270</v>
      </c>
      <c r="D106" s="25">
        <v>3.1437156232383998</v>
      </c>
      <c r="E106" s="25">
        <v>0.16678058123797099</v>
      </c>
      <c r="F106" s="25">
        <v>0.238521619939325</v>
      </c>
      <c r="G106" s="25">
        <v>2.84218914687713E-3</v>
      </c>
      <c r="H106" s="25">
        <v>0.70123565333856797</v>
      </c>
      <c r="I106" s="13">
        <f t="shared" si="8"/>
        <v>91.360950688451467</v>
      </c>
      <c r="J106" s="3">
        <f t="shared" si="9"/>
        <v>8.6390493115485292</v>
      </c>
      <c r="K106" s="3">
        <v>0</v>
      </c>
      <c r="L106" s="24">
        <v>9.6180333147784694E-2</v>
      </c>
      <c r="M106" s="24">
        <v>4.7050148953166997E-3</v>
      </c>
      <c r="N106" s="24">
        <v>4.1979945150164601</v>
      </c>
      <c r="O106" s="24">
        <v>5.1264399323625101E-2</v>
      </c>
      <c r="P106" s="24">
        <v>1.1956069441583199</v>
      </c>
      <c r="Q106" s="24">
        <v>3.5871907375143203E-2</v>
      </c>
      <c r="R106" s="24">
        <v>-0.484606635453458</v>
      </c>
      <c r="S106" s="25">
        <v>1378.3687788929601</v>
      </c>
      <c r="T106" s="25">
        <v>14.747411118784299</v>
      </c>
      <c r="U106" s="25">
        <v>1508.7066941688399</v>
      </c>
      <c r="V106" s="25">
        <v>79.203537536753302</v>
      </c>
      <c r="W106" s="28">
        <v>50</v>
      </c>
    </row>
    <row r="107" spans="1:24" ht="16" x14ac:dyDescent="0.2">
      <c r="A107" s="11">
        <v>2</v>
      </c>
      <c r="B107" s="24" t="s">
        <v>142</v>
      </c>
      <c r="C107" s="24" t="s">
        <v>271</v>
      </c>
      <c r="D107" s="25">
        <v>3.1865429819848399</v>
      </c>
      <c r="E107" s="25">
        <v>5.1873296810026698E-2</v>
      </c>
      <c r="F107" s="25">
        <v>0.25418857145325302</v>
      </c>
      <c r="G107" s="25">
        <v>2.13427915107123E-3</v>
      </c>
      <c r="H107" s="25">
        <v>0.32411482978696199</v>
      </c>
      <c r="I107" s="13">
        <f t="shared" si="8"/>
        <v>102.61996893308547</v>
      </c>
      <c r="J107" s="3">
        <f t="shared" si="9"/>
        <v>-2.6199689330854703</v>
      </c>
      <c r="K107" s="3">
        <v>0</v>
      </c>
      <c r="L107" s="24">
        <v>9.0494668832225802E-2</v>
      </c>
      <c r="M107" s="24">
        <v>1.4233694022977601E-3</v>
      </c>
      <c r="N107" s="24">
        <v>3.9307632577471199</v>
      </c>
      <c r="O107" s="24">
        <v>3.2111891629902502E-2</v>
      </c>
      <c r="P107" s="24">
        <v>1.9663863687493599</v>
      </c>
      <c r="Q107" s="24">
        <v>2.4955943790637699E-2</v>
      </c>
      <c r="R107" s="24">
        <v>0.21388990152680501</v>
      </c>
      <c r="S107" s="25">
        <v>1461.10927200628</v>
      </c>
      <c r="T107" s="25">
        <v>10.6385695698324</v>
      </c>
      <c r="U107" s="25">
        <v>1423.8059972119199</v>
      </c>
      <c r="V107" s="25">
        <v>30.288162111448202</v>
      </c>
      <c r="W107" s="28">
        <v>50</v>
      </c>
    </row>
    <row r="108" spans="1:24" ht="16" x14ac:dyDescent="0.2">
      <c r="A108" s="11">
        <v>2</v>
      </c>
      <c r="B108" s="24" t="s">
        <v>143</v>
      </c>
      <c r="C108" s="24" t="s">
        <v>272</v>
      </c>
      <c r="D108" s="25">
        <v>2.3103372971682101</v>
      </c>
      <c r="E108" s="25">
        <v>7.5805067040942295E-2</v>
      </c>
      <c r="F108" s="25">
        <v>0.206008200938533</v>
      </c>
      <c r="G108" s="25">
        <v>2.4007181654134798E-3</v>
      </c>
      <c r="H108" s="25">
        <v>0.16926483956952099</v>
      </c>
      <c r="I108" s="13">
        <f t="shared" si="8"/>
        <v>103.56977556594519</v>
      </c>
      <c r="J108" s="3">
        <f t="shared" si="9"/>
        <v>-3.5697755659451991</v>
      </c>
      <c r="K108" s="3">
        <v>0</v>
      </c>
      <c r="L108" s="24">
        <v>8.10562643713236E-2</v>
      </c>
      <c r="M108" s="24">
        <v>2.66932820798763E-3</v>
      </c>
      <c r="N108" s="24">
        <v>4.8680361197494904</v>
      </c>
      <c r="O108" s="24">
        <v>5.6835669604287799E-2</v>
      </c>
      <c r="P108" s="24">
        <v>3.2431147371662501</v>
      </c>
      <c r="Q108" s="24">
        <v>5.6287370446255203E-2</v>
      </c>
      <c r="R108" s="24">
        <v>0.22143189029833801</v>
      </c>
      <c r="S108" s="25">
        <v>1207.03426792657</v>
      </c>
      <c r="T108" s="25">
        <v>12.8218975730744</v>
      </c>
      <c r="U108" s="25">
        <v>1165.43099695917</v>
      </c>
      <c r="V108" s="25">
        <v>69.976163574231293</v>
      </c>
      <c r="W108" s="28">
        <v>50</v>
      </c>
    </row>
    <row r="109" spans="1:24" s="5" customFormat="1" ht="16" x14ac:dyDescent="0.2">
      <c r="A109" s="11">
        <v>2</v>
      </c>
      <c r="B109" s="26" t="s">
        <v>144</v>
      </c>
      <c r="C109" s="26" t="s">
        <v>273</v>
      </c>
      <c r="D109" s="26">
        <v>2.3208008286995101</v>
      </c>
      <c r="E109" s="26">
        <v>0.21790505629573001</v>
      </c>
      <c r="F109" s="26">
        <v>0.16995336588461299</v>
      </c>
      <c r="G109" s="26">
        <v>5.5321490326021901E-3</v>
      </c>
      <c r="H109" s="26">
        <v>0.16534047147889899</v>
      </c>
      <c r="I109" s="6">
        <f t="shared" si="8"/>
        <v>68.311226167434384</v>
      </c>
      <c r="J109" s="7">
        <f t="shared" si="9"/>
        <v>31.688773832565619</v>
      </c>
      <c r="K109" s="3">
        <v>10</v>
      </c>
      <c r="L109" s="26">
        <v>0.101495676843982</v>
      </c>
      <c r="M109" s="26">
        <v>9.8815164964278293E-3</v>
      </c>
      <c r="N109" s="26">
        <v>5.9991836144479898</v>
      </c>
      <c r="O109" s="26">
        <v>0.20553386420733</v>
      </c>
      <c r="P109" s="26">
        <v>11.530298055319101</v>
      </c>
      <c r="Q109" s="26">
        <v>2.3304822595479302</v>
      </c>
      <c r="R109" s="26">
        <v>0.18584313810434799</v>
      </c>
      <c r="S109" s="26">
        <v>1010.4472097870701</v>
      </c>
      <c r="T109" s="26">
        <v>30.510947225029302</v>
      </c>
      <c r="U109" s="26">
        <v>1479.18177798538</v>
      </c>
      <c r="V109" s="26">
        <v>188.66134480501799</v>
      </c>
      <c r="W109" s="28">
        <v>50</v>
      </c>
      <c r="X109" s="22"/>
    </row>
    <row r="110" spans="1:24" ht="16" x14ac:dyDescent="0.2">
      <c r="A110" s="11">
        <v>3</v>
      </c>
      <c r="B110" s="18" t="s">
        <v>336</v>
      </c>
      <c r="C110" s="11" t="s">
        <v>476</v>
      </c>
      <c r="D110" s="18">
        <v>245.61363574450399</v>
      </c>
      <c r="E110" s="18">
        <v>198.16922332397101</v>
      </c>
      <c r="F110" s="18">
        <v>0.531259513961025</v>
      </c>
      <c r="G110" s="18">
        <v>1.6858106063032801</v>
      </c>
      <c r="H110" s="18">
        <v>-9.07461350707848E-2</v>
      </c>
      <c r="I110" s="11"/>
      <c r="J110" s="7">
        <f t="shared" si="9"/>
        <v>-145.29119871567264</v>
      </c>
      <c r="K110" s="3">
        <v>10</v>
      </c>
      <c r="L110" s="18">
        <v>0.19344944972758199</v>
      </c>
      <c r="M110" s="18">
        <v>0.21732747484287701</v>
      </c>
      <c r="N110" s="18">
        <v>-0.346588402893306</v>
      </c>
      <c r="O110" s="18">
        <v>0.240401633435817</v>
      </c>
      <c r="P110" s="18">
        <v>184.06255805583601</v>
      </c>
      <c r="Q110" s="18">
        <v>103.182840754456</v>
      </c>
      <c r="R110" s="18">
        <v>-8.5114200871851207E-3</v>
      </c>
      <c r="S110" s="18">
        <v>9987.7970162349193</v>
      </c>
      <c r="T110" s="18">
        <v>1037.9625905600601</v>
      </c>
      <c r="U110" s="18">
        <v>4071.8122250330698</v>
      </c>
      <c r="V110" s="18">
        <v>0.21222122569315599</v>
      </c>
      <c r="W110" s="28">
        <v>50</v>
      </c>
    </row>
    <row r="111" spans="1:24" ht="16" x14ac:dyDescent="0.2">
      <c r="A111" s="11">
        <v>3</v>
      </c>
      <c r="B111" s="18" t="s">
        <v>337</v>
      </c>
      <c r="C111" s="11" t="s">
        <v>477</v>
      </c>
      <c r="D111" s="18">
        <v>139.692861728981</v>
      </c>
      <c r="E111" s="18">
        <v>300.21837099639902</v>
      </c>
      <c r="F111" s="18">
        <v>1.1846725668482501</v>
      </c>
      <c r="G111" s="18">
        <v>2.1342538605150998</v>
      </c>
      <c r="H111" s="18">
        <v>9.0202500060396595E-2</v>
      </c>
      <c r="I111" s="11"/>
      <c r="J111" s="7" t="e">
        <f t="shared" si="9"/>
        <v>#VALUE!</v>
      </c>
      <c r="K111" s="3">
        <v>10</v>
      </c>
      <c r="L111" s="18">
        <v>9.9731730053722906E-2</v>
      </c>
      <c r="M111" s="18">
        <v>0.27534022481147102</v>
      </c>
      <c r="N111" s="18">
        <v>0.103677419489828</v>
      </c>
      <c r="O111" s="18">
        <v>1.12421021587767E-2</v>
      </c>
      <c r="P111" s="18">
        <v>46.1796164355044</v>
      </c>
      <c r="Q111" s="18">
        <v>20.988669448981501</v>
      </c>
      <c r="R111" s="18">
        <v>-1.2214277943569499E-2</v>
      </c>
      <c r="S111" s="18">
        <v>13669.034408543201</v>
      </c>
      <c r="T111" s="18">
        <v>60.802863428505198</v>
      </c>
      <c r="U111" s="18" t="s">
        <v>338</v>
      </c>
      <c r="V111" s="18" t="s">
        <v>338</v>
      </c>
      <c r="W111" s="28">
        <v>50</v>
      </c>
    </row>
    <row r="112" spans="1:24" ht="16" x14ac:dyDescent="0.2">
      <c r="A112" s="11">
        <v>3</v>
      </c>
      <c r="B112" s="18" t="s">
        <v>275</v>
      </c>
      <c r="C112" s="11" t="s">
        <v>478</v>
      </c>
      <c r="D112" s="18">
        <v>673.11021608463602</v>
      </c>
      <c r="E112" s="18">
        <v>18.890508694585399</v>
      </c>
      <c r="F112" s="18">
        <v>6.5470785930877398</v>
      </c>
      <c r="G112" s="18">
        <v>0.19257303611754301</v>
      </c>
      <c r="H112" s="18">
        <v>0.949278913099451</v>
      </c>
      <c r="I112" s="11"/>
      <c r="J112" s="7">
        <f t="shared" si="9"/>
        <v>-168.55017773608463</v>
      </c>
      <c r="K112" s="3">
        <v>10</v>
      </c>
      <c r="L112" s="18">
        <v>0.74894572591472697</v>
      </c>
      <c r="M112" s="18">
        <v>6.8736558278417598E-3</v>
      </c>
      <c r="N112" s="18">
        <v>0.15711616172593901</v>
      </c>
      <c r="O112" s="18">
        <v>4.9152155564414499E-3</v>
      </c>
      <c r="P112" s="18">
        <v>0.50818261025227696</v>
      </c>
      <c r="Q112" s="18">
        <v>3.4502412013718203E-2</v>
      </c>
      <c r="R112" s="18">
        <v>0.20396371608852101</v>
      </c>
      <c r="S112" s="18">
        <v>12949.9689366647</v>
      </c>
      <c r="T112" s="18">
        <v>169.96456110956601</v>
      </c>
      <c r="U112" s="18">
        <v>4822.1785015503401</v>
      </c>
      <c r="V112" s="18">
        <v>12.6880304306141</v>
      </c>
      <c r="W112" s="28">
        <v>50</v>
      </c>
    </row>
    <row r="113" spans="1:23" ht="16" x14ac:dyDescent="0.2">
      <c r="A113" s="11">
        <v>3</v>
      </c>
      <c r="B113" s="18" t="s">
        <v>276</v>
      </c>
      <c r="C113" s="11" t="s">
        <v>479</v>
      </c>
      <c r="D113" s="18">
        <v>2.87428463450855</v>
      </c>
      <c r="E113" s="18">
        <v>5.9510935231791399E-2</v>
      </c>
      <c r="F113" s="18">
        <v>0.24000305351218401</v>
      </c>
      <c r="G113" s="18">
        <v>2.7268143070731201E-3</v>
      </c>
      <c r="H113" s="18">
        <v>0.35061950037089701</v>
      </c>
      <c r="I113" s="5"/>
      <c r="J113" s="7">
        <f t="shared" si="9"/>
        <v>-3.8420425580053541</v>
      </c>
      <c r="K113" s="3">
        <v>0</v>
      </c>
      <c r="L113" s="18">
        <v>8.68686608342297E-2</v>
      </c>
      <c r="M113" s="18">
        <v>1.7753512934568501E-3</v>
      </c>
      <c r="N113" s="18">
        <v>4.1598381964107496</v>
      </c>
      <c r="O113" s="18">
        <v>4.8671588052333702E-2</v>
      </c>
      <c r="P113" s="18">
        <v>1.51040394859946</v>
      </c>
      <c r="Q113" s="18">
        <v>4.9079860445500098E-2</v>
      </c>
      <c r="R113" s="18">
        <v>0.29458107252933902</v>
      </c>
      <c r="S113" s="18">
        <v>1388.30332692088</v>
      </c>
      <c r="T113" s="18">
        <v>14.742792997846699</v>
      </c>
      <c r="U113" s="18">
        <v>1336.9376147867899</v>
      </c>
      <c r="V113" s="18">
        <v>41.422583641713103</v>
      </c>
      <c r="W113" s="28">
        <v>50</v>
      </c>
    </row>
    <row r="114" spans="1:23" ht="16" x14ac:dyDescent="0.2">
      <c r="A114" s="11">
        <v>3</v>
      </c>
      <c r="B114" s="18" t="s">
        <v>277</v>
      </c>
      <c r="C114" s="11" t="s">
        <v>480</v>
      </c>
      <c r="D114" s="18">
        <v>806.69874989033701</v>
      </c>
      <c r="E114" s="18">
        <v>19.4795094811046</v>
      </c>
      <c r="F114" s="18">
        <v>7.7392017505479904</v>
      </c>
      <c r="G114" s="18">
        <v>0.21490957016370699</v>
      </c>
      <c r="H114" s="18">
        <v>0.78529726365165298</v>
      </c>
      <c r="I114" s="11"/>
      <c r="J114" s="7">
        <f t="shared" si="9"/>
        <v>-189.26022394254204</v>
      </c>
      <c r="K114" s="3">
        <v>10</v>
      </c>
      <c r="L114" s="18">
        <v>0.76389420687139897</v>
      </c>
      <c r="M114" s="18">
        <v>1.32690429572701E-2</v>
      </c>
      <c r="N114" s="18">
        <v>0.132154611436749</v>
      </c>
      <c r="O114" s="18">
        <v>3.5954622977655299E-3</v>
      </c>
      <c r="P114" s="18">
        <v>0.99216991173369296</v>
      </c>
      <c r="Q114" s="18">
        <v>7.4634988009462805E-2</v>
      </c>
      <c r="R114" s="18">
        <v>0.52330428438952703</v>
      </c>
      <c r="S114" s="18">
        <v>13904.5683289386</v>
      </c>
      <c r="T114" s="18">
        <v>157.92593663553899</v>
      </c>
      <c r="U114" s="18">
        <v>4806.9410095252397</v>
      </c>
      <c r="V114" s="18">
        <v>22.121220540137902</v>
      </c>
      <c r="W114" s="28">
        <v>50</v>
      </c>
    </row>
    <row r="115" spans="1:23" ht="16" x14ac:dyDescent="0.2">
      <c r="A115" s="11">
        <v>3</v>
      </c>
      <c r="B115" s="18" t="s">
        <v>278</v>
      </c>
      <c r="C115" s="11" t="s">
        <v>481</v>
      </c>
      <c r="D115" s="18">
        <v>6.8733711607661503</v>
      </c>
      <c r="E115" s="18">
        <v>9.3143734956897595E-2</v>
      </c>
      <c r="F115" s="18">
        <v>0.39068385641911002</v>
      </c>
      <c r="G115" s="18">
        <v>3.2401549585784001E-3</v>
      </c>
      <c r="H115" s="18">
        <v>0.28366365270799199</v>
      </c>
      <c r="I115" s="11"/>
      <c r="J115" s="7">
        <f t="shared" si="9"/>
        <v>-2.7292342928863178</v>
      </c>
      <c r="K115" s="3">
        <v>0</v>
      </c>
      <c r="L115" s="18">
        <v>0.12798470184070901</v>
      </c>
      <c r="M115" s="18">
        <v>1.7616217635063899E-3</v>
      </c>
      <c r="N115" s="18">
        <v>2.5617425331030699</v>
      </c>
      <c r="O115" s="18">
        <v>2.12332690517095E-2</v>
      </c>
      <c r="P115" s="18">
        <v>1.3717254094</v>
      </c>
      <c r="Q115" s="18">
        <v>1.6314564658736101E-2</v>
      </c>
      <c r="R115" s="18">
        <v>0.31621051640120601</v>
      </c>
      <c r="S115" s="18">
        <v>2125.3611427772598</v>
      </c>
      <c r="T115" s="18">
        <v>15.007645348892799</v>
      </c>
      <c r="U115" s="18">
        <v>2068.8961203757699</v>
      </c>
      <c r="V115" s="18">
        <v>23.073099412514999</v>
      </c>
      <c r="W115" s="28">
        <v>50</v>
      </c>
    </row>
    <row r="116" spans="1:23" ht="16" x14ac:dyDescent="0.2">
      <c r="A116" s="11">
        <v>3</v>
      </c>
      <c r="B116" s="18" t="s">
        <v>279</v>
      </c>
      <c r="C116" s="11" t="s">
        <v>482</v>
      </c>
      <c r="D116" s="18">
        <v>5.3840133418276004</v>
      </c>
      <c r="E116" s="18">
        <v>9.8213979497583995E-2</v>
      </c>
      <c r="F116" s="18">
        <v>0.340712142904535</v>
      </c>
      <c r="G116" s="18">
        <v>3.2718400383221799E-3</v>
      </c>
      <c r="H116" s="18">
        <v>0.30976472728450599</v>
      </c>
      <c r="I116" s="11"/>
      <c r="J116" s="7">
        <f t="shared" si="9"/>
        <v>-1.1634095754320617</v>
      </c>
      <c r="K116" s="3">
        <v>0</v>
      </c>
      <c r="L116" s="18">
        <v>0.114790772076835</v>
      </c>
      <c r="M116" s="18">
        <v>2.0581605180264302E-3</v>
      </c>
      <c r="N116" s="18">
        <v>2.93248409554224</v>
      </c>
      <c r="O116" s="18">
        <v>2.8325267854258099E-2</v>
      </c>
      <c r="P116" s="18">
        <v>2.20177875064575</v>
      </c>
      <c r="Q116" s="18">
        <v>2.77203970320315E-2</v>
      </c>
      <c r="R116" s="18">
        <v>0.249344750896451</v>
      </c>
      <c r="S116" s="18">
        <v>1889.39400399685</v>
      </c>
      <c r="T116" s="18">
        <v>15.7317671038042</v>
      </c>
      <c r="U116" s="18">
        <v>1867.66540582841</v>
      </c>
      <c r="V116" s="18">
        <v>31.320802875593099</v>
      </c>
      <c r="W116" s="28">
        <v>50</v>
      </c>
    </row>
    <row r="117" spans="1:23" ht="16" x14ac:dyDescent="0.2">
      <c r="A117" s="11">
        <v>3</v>
      </c>
      <c r="B117" s="18" t="s">
        <v>280</v>
      </c>
      <c r="C117" s="11" t="s">
        <v>483</v>
      </c>
      <c r="D117" s="18">
        <v>493.50300708847999</v>
      </c>
      <c r="E117" s="18">
        <v>6.0310464098966099</v>
      </c>
      <c r="F117" s="18">
        <v>4.8675114957380501</v>
      </c>
      <c r="G117" s="18">
        <v>5.6719581103766598E-2</v>
      </c>
      <c r="H117" s="18">
        <v>0.80695657677947996</v>
      </c>
      <c r="I117" s="5"/>
      <c r="J117" s="7">
        <f t="shared" si="9"/>
        <v>-137.58860369447078</v>
      </c>
      <c r="K117" s="3">
        <v>10</v>
      </c>
      <c r="L117" s="18">
        <v>0.73571647888331604</v>
      </c>
      <c r="M117" s="18">
        <v>5.7550714419005002E-3</v>
      </c>
      <c r="N117" s="18">
        <v>0.20581741413604401</v>
      </c>
      <c r="O117" s="18">
        <v>2.4426604341429101E-3</v>
      </c>
      <c r="P117" s="18">
        <v>0.101076228279692</v>
      </c>
      <c r="Q117" s="18">
        <v>1.23351495572725E-3</v>
      </c>
      <c r="R117" s="18">
        <v>0.305865378163724</v>
      </c>
      <c r="S117" s="18">
        <v>11403.7042294411</v>
      </c>
      <c r="T117" s="18">
        <v>63.921162482380602</v>
      </c>
      <c r="U117" s="18">
        <v>4799.7690344212797</v>
      </c>
      <c r="V117" s="18">
        <v>11.138522932532499</v>
      </c>
      <c r="W117" s="28">
        <v>50</v>
      </c>
    </row>
    <row r="118" spans="1:23" ht="16" x14ac:dyDescent="0.2">
      <c r="A118" s="11">
        <v>3</v>
      </c>
      <c r="B118" s="18" t="s">
        <v>281</v>
      </c>
      <c r="C118" s="11" t="s">
        <v>484</v>
      </c>
      <c r="D118" s="18">
        <v>158.24377456117401</v>
      </c>
      <c r="E118" s="18">
        <v>3.1007764041140802</v>
      </c>
      <c r="F118" s="18">
        <v>1.5744582156835401</v>
      </c>
      <c r="G118" s="18">
        <v>3.04603112860833E-2</v>
      </c>
      <c r="H118" s="18">
        <v>0.74091875876313396</v>
      </c>
      <c r="I118" s="11"/>
      <c r="J118" s="7">
        <f t="shared" si="9"/>
        <v>-27.396781957099513</v>
      </c>
      <c r="K118" s="3">
        <v>10</v>
      </c>
      <c r="L118" s="18">
        <v>0.72992495284619396</v>
      </c>
      <c r="M118" s="18">
        <v>9.8806730796072301E-3</v>
      </c>
      <c r="N118" s="18">
        <v>0.63991022372950201</v>
      </c>
      <c r="O118" s="18">
        <v>1.2289143392578399E-2</v>
      </c>
      <c r="P118" s="18">
        <v>0.51097515212321298</v>
      </c>
      <c r="Q118" s="18">
        <v>1.17892616013638E-2</v>
      </c>
      <c r="R118" s="18">
        <v>0.34774678378378399</v>
      </c>
      <c r="S118" s="18">
        <v>6088.6249560695896</v>
      </c>
      <c r="T118" s="18">
        <v>77.828254441072005</v>
      </c>
      <c r="U118" s="18">
        <v>4779.2611889678001</v>
      </c>
      <c r="V118" s="18">
        <v>18.777746473589598</v>
      </c>
      <c r="W118" s="28">
        <v>50</v>
      </c>
    </row>
    <row r="119" spans="1:23" ht="16" x14ac:dyDescent="0.2">
      <c r="A119" s="11">
        <v>3</v>
      </c>
      <c r="B119" s="18" t="s">
        <v>282</v>
      </c>
      <c r="C119" s="11" t="s">
        <v>485</v>
      </c>
      <c r="D119" s="18">
        <v>836.85709742549705</v>
      </c>
      <c r="E119" s="18">
        <v>10.521194028118201</v>
      </c>
      <c r="F119" s="18">
        <v>7.8488534950434303</v>
      </c>
      <c r="G119" s="18">
        <v>0.103133029808471</v>
      </c>
      <c r="H119" s="18">
        <v>0.81468980971950999</v>
      </c>
      <c r="I119" s="11"/>
      <c r="J119" s="7">
        <f t="shared" si="9"/>
        <v>-188.08283812674608</v>
      </c>
      <c r="K119" s="3">
        <v>10</v>
      </c>
      <c r="L119" s="18">
        <v>0.77674353151382303</v>
      </c>
      <c r="M119" s="18">
        <v>6.01357287010287E-3</v>
      </c>
      <c r="N119" s="18">
        <v>0.127982553802414</v>
      </c>
      <c r="O119" s="18">
        <v>1.6840859999602E-3</v>
      </c>
      <c r="P119" s="18">
        <v>9.3355531183816301E-2</v>
      </c>
      <c r="Q119" s="18">
        <v>1.33705039002557E-3</v>
      </c>
      <c r="R119" s="18">
        <v>0.32551764644146503</v>
      </c>
      <c r="S119" s="18">
        <v>14039.0797765076</v>
      </c>
      <c r="T119" s="18">
        <v>75.086307984010105</v>
      </c>
      <c r="U119" s="18">
        <v>4873.2787651623003</v>
      </c>
      <c r="V119" s="18">
        <v>10.544611252207099</v>
      </c>
      <c r="W119" s="28">
        <v>50</v>
      </c>
    </row>
    <row r="120" spans="1:23" ht="16" x14ac:dyDescent="0.2">
      <c r="A120" s="11">
        <v>3</v>
      </c>
      <c r="B120" s="18" t="s">
        <v>283</v>
      </c>
      <c r="C120" s="11" t="s">
        <v>486</v>
      </c>
      <c r="D120" s="18">
        <v>12.5230817918778</v>
      </c>
      <c r="E120" s="18">
        <v>0.110275797381523</v>
      </c>
      <c r="F120" s="18">
        <v>0.50941130275411295</v>
      </c>
      <c r="G120" s="18">
        <v>3.9355193897632401E-3</v>
      </c>
      <c r="H120" s="18">
        <v>0.39346350363329102</v>
      </c>
      <c r="I120" s="11"/>
      <c r="J120" s="7">
        <f t="shared" si="9"/>
        <v>-0.63653936420891011</v>
      </c>
      <c r="K120" s="3">
        <v>0</v>
      </c>
      <c r="L120" s="18">
        <v>0.17842581451903899</v>
      </c>
      <c r="M120" s="18">
        <v>1.6222164301443001E-3</v>
      </c>
      <c r="N120" s="18">
        <v>1.9600163506909301</v>
      </c>
      <c r="O120" s="18">
        <v>1.5040881375406901E-2</v>
      </c>
      <c r="P120" s="18">
        <v>1.1363341157336</v>
      </c>
      <c r="Q120" s="18">
        <v>1.0280283467994899E-2</v>
      </c>
      <c r="R120" s="18">
        <v>0.50458089302513998</v>
      </c>
      <c r="S120" s="18">
        <v>2653.3174782800902</v>
      </c>
      <c r="T120" s="18">
        <v>16.785505858012801</v>
      </c>
      <c r="U120" s="18">
        <v>2636.5348958171098</v>
      </c>
      <c r="V120" s="18">
        <v>15.564890960985</v>
      </c>
      <c r="W120" s="28">
        <v>50</v>
      </c>
    </row>
    <row r="121" spans="1:23" ht="16" x14ac:dyDescent="0.2">
      <c r="A121" s="11">
        <v>3</v>
      </c>
      <c r="B121" s="18" t="s">
        <v>339</v>
      </c>
      <c r="C121" s="11" t="s">
        <v>487</v>
      </c>
      <c r="D121" s="18">
        <v>-17.337372117487199</v>
      </c>
      <c r="E121" s="18">
        <v>191.50342070522399</v>
      </c>
      <c r="F121" s="18">
        <v>-0.74641474092120197</v>
      </c>
      <c r="G121" s="18">
        <v>1.7840946796545001</v>
      </c>
      <c r="H121" s="18">
        <v>-0.17709857996357001</v>
      </c>
      <c r="I121" s="5"/>
      <c r="J121" s="7">
        <f t="shared" si="9"/>
        <v>-112.49500314168807</v>
      </c>
      <c r="K121" s="3">
        <v>10</v>
      </c>
      <c r="L121" s="18">
        <v>-0.120244172886575</v>
      </c>
      <c r="M121" s="18">
        <v>0.21043887173241499</v>
      </c>
      <c r="N121" s="18">
        <v>-0.39960720002293099</v>
      </c>
      <c r="O121" s="18">
        <v>0.24490487359673599</v>
      </c>
      <c r="P121" s="18">
        <v>-115.756068989695</v>
      </c>
      <c r="Q121" s="18">
        <v>71.252305183020695</v>
      </c>
      <c r="R121" s="18">
        <v>-8.6254884683136704E-2</v>
      </c>
      <c r="S121" s="18">
        <v>9306.9311172758207</v>
      </c>
      <c r="T121" s="18">
        <v>1190.5528202819701</v>
      </c>
      <c r="U121" s="18">
        <v>4379.83528067722</v>
      </c>
      <c r="V121" s="18">
        <v>2.6342876750819202</v>
      </c>
      <c r="W121" s="28">
        <v>50</v>
      </c>
    </row>
    <row r="122" spans="1:23" ht="16" x14ac:dyDescent="0.2">
      <c r="A122" s="11">
        <v>3</v>
      </c>
      <c r="B122" s="18" t="s">
        <v>284</v>
      </c>
      <c r="C122" s="11" t="s">
        <v>488</v>
      </c>
      <c r="D122" s="18">
        <v>2.8837576962961</v>
      </c>
      <c r="E122" s="18">
        <v>5.6250541771004803E-2</v>
      </c>
      <c r="F122" s="18">
        <v>0.24007212194349201</v>
      </c>
      <c r="G122" s="18">
        <v>2.0780323200033099E-3</v>
      </c>
      <c r="H122" s="18">
        <v>8.3881793826140597E-2</v>
      </c>
      <c r="I122" s="11"/>
      <c r="J122" s="7">
        <f t="shared" si="9"/>
        <v>-2.7167301772793584</v>
      </c>
      <c r="K122" s="3">
        <v>0</v>
      </c>
      <c r="L122" s="18">
        <v>8.7439584634982206E-2</v>
      </c>
      <c r="M122" s="18">
        <v>1.8025747569264E-3</v>
      </c>
      <c r="N122" s="18">
        <v>4.1641545591569997</v>
      </c>
      <c r="O122" s="18">
        <v>3.4844441923457301E-2</v>
      </c>
      <c r="P122" s="18">
        <v>3.2392558486425198</v>
      </c>
      <c r="Q122" s="18">
        <v>4.7370316575774001E-2</v>
      </c>
      <c r="R122" s="18">
        <v>0.352383880603442</v>
      </c>
      <c r="S122" s="18">
        <v>1386.7443986404501</v>
      </c>
      <c r="T122" s="18">
        <v>10.7897613026973</v>
      </c>
      <c r="U122" s="18">
        <v>1350.06672841616</v>
      </c>
      <c r="V122" s="18">
        <v>40.612627257942599</v>
      </c>
      <c r="W122" s="28">
        <v>50</v>
      </c>
    </row>
    <row r="123" spans="1:23" ht="16" x14ac:dyDescent="0.2">
      <c r="A123" s="11">
        <v>3</v>
      </c>
      <c r="B123" s="18" t="s">
        <v>285</v>
      </c>
      <c r="C123" s="11" t="s">
        <v>489</v>
      </c>
      <c r="D123" s="18">
        <v>-1.8803698167542</v>
      </c>
      <c r="E123" s="18">
        <v>308.55527681489502</v>
      </c>
      <c r="F123" s="18">
        <v>-1.4017039895243</v>
      </c>
      <c r="G123" s="18">
        <v>2.6668959250688902</v>
      </c>
      <c r="H123" s="18">
        <v>0.54972079612222902</v>
      </c>
      <c r="I123" s="5"/>
      <c r="J123" s="7">
        <f t="shared" si="9"/>
        <v>20.155847886344759</v>
      </c>
      <c r="K123" s="3">
        <v>10</v>
      </c>
      <c r="L123" s="18">
        <v>0.64338538863793104</v>
      </c>
      <c r="M123" s="18">
        <v>0.178383602357406</v>
      </c>
      <c r="N123" s="18">
        <v>1.3484894896153801</v>
      </c>
      <c r="O123" s="18">
        <v>0.16475502426378599</v>
      </c>
      <c r="P123" s="18">
        <v>-11.9783478727014</v>
      </c>
      <c r="Q123" s="18">
        <v>7.3432016539927396</v>
      </c>
      <c r="R123" s="18">
        <v>0.50132817374822802</v>
      </c>
      <c r="S123" s="18">
        <v>3421.3173297134099</v>
      </c>
      <c r="T123" s="18">
        <v>377.41692177991501</v>
      </c>
      <c r="U123" s="18">
        <v>4284.9942533590802</v>
      </c>
      <c r="V123" s="18">
        <v>127.24122286298</v>
      </c>
      <c r="W123" s="28">
        <v>50</v>
      </c>
    </row>
    <row r="124" spans="1:23" ht="16" x14ac:dyDescent="0.2">
      <c r="A124" s="11">
        <v>3</v>
      </c>
      <c r="B124" s="18" t="s">
        <v>286</v>
      </c>
      <c r="C124" s="11" t="s">
        <v>490</v>
      </c>
      <c r="D124" s="18">
        <v>309.47059838488201</v>
      </c>
      <c r="E124" s="18">
        <v>6.3585486864180503</v>
      </c>
      <c r="F124" s="18">
        <v>3.0134227914801599</v>
      </c>
      <c r="G124" s="18">
        <v>6.15978811217524E-2</v>
      </c>
      <c r="H124" s="18">
        <v>0.83703275804645005</v>
      </c>
      <c r="I124" s="5"/>
      <c r="J124" s="7">
        <f t="shared" si="9"/>
        <v>-86.195004523775538</v>
      </c>
      <c r="K124" s="3">
        <v>10</v>
      </c>
      <c r="L124" s="18">
        <v>0.74654591813064097</v>
      </c>
      <c r="M124" s="18">
        <v>9.5427282948334999E-3</v>
      </c>
      <c r="N124" s="18">
        <v>0.33555844630804899</v>
      </c>
      <c r="O124" s="18">
        <v>7.0233225528190798E-3</v>
      </c>
      <c r="P124" s="18">
        <v>-335.81487664896503</v>
      </c>
      <c r="Q124" s="18">
        <v>93.095843033648094</v>
      </c>
      <c r="R124" s="18">
        <v>0.35394284200242998</v>
      </c>
      <c r="S124" s="18">
        <v>8943.2244051508205</v>
      </c>
      <c r="T124" s="18">
        <v>101.436208616084</v>
      </c>
      <c r="U124" s="18">
        <v>4803.1494872940302</v>
      </c>
      <c r="V124" s="18">
        <v>16.344900610686299</v>
      </c>
      <c r="W124" s="28">
        <v>50</v>
      </c>
    </row>
    <row r="125" spans="1:23" ht="16" x14ac:dyDescent="0.2">
      <c r="A125" s="11">
        <v>3</v>
      </c>
      <c r="B125" s="18" t="s">
        <v>287</v>
      </c>
      <c r="C125" s="11" t="s">
        <v>491</v>
      </c>
      <c r="D125" s="18">
        <v>759.33720031481801</v>
      </c>
      <c r="E125" s="18">
        <v>16.798575901997602</v>
      </c>
      <c r="F125" s="18">
        <v>7.4714791229158104</v>
      </c>
      <c r="G125" s="18">
        <v>0.167825635715045</v>
      </c>
      <c r="H125" s="18">
        <v>0.87307442680737202</v>
      </c>
      <c r="I125" s="5"/>
      <c r="J125" s="7">
        <f t="shared" si="9"/>
        <v>-185.54083215003857</v>
      </c>
      <c r="K125" s="3">
        <v>10</v>
      </c>
      <c r="L125" s="18">
        <v>0.74233147659131704</v>
      </c>
      <c r="M125" s="18">
        <v>7.7983670160998199E-3</v>
      </c>
      <c r="N125" s="18">
        <v>0.13563828799441199</v>
      </c>
      <c r="O125" s="18">
        <v>3.0688161346767201E-3</v>
      </c>
      <c r="P125" s="18">
        <v>2.4039738326203399E-2</v>
      </c>
      <c r="Q125" s="18">
        <v>5.8090921493833699E-4</v>
      </c>
      <c r="R125" s="18">
        <v>0.22816466506871499</v>
      </c>
      <c r="S125" s="18">
        <v>13729.138206022801</v>
      </c>
      <c r="T125" s="18">
        <v>126.021680684142</v>
      </c>
      <c r="U125" s="18">
        <v>4808.1173199105797</v>
      </c>
      <c r="V125" s="18">
        <v>14.669270408904399</v>
      </c>
      <c r="W125" s="28">
        <v>50</v>
      </c>
    </row>
    <row r="126" spans="1:23" ht="16" x14ac:dyDescent="0.2">
      <c r="A126" s="11">
        <v>3</v>
      </c>
      <c r="B126" s="18" t="s">
        <v>288</v>
      </c>
      <c r="C126" s="11" t="s">
        <v>492</v>
      </c>
      <c r="D126" s="18">
        <v>2.8044921578438702</v>
      </c>
      <c r="E126" s="18">
        <v>6.8845935244965795E-2</v>
      </c>
      <c r="F126" s="18">
        <v>0.23554478506116799</v>
      </c>
      <c r="G126" s="18">
        <v>2.0897798759797501E-3</v>
      </c>
      <c r="H126" s="18">
        <v>0.14836454142049499</v>
      </c>
      <c r="I126" s="5"/>
      <c r="J126" s="7">
        <f t="shared" si="9"/>
        <v>-2.7237549095210589</v>
      </c>
      <c r="K126" s="3">
        <v>0</v>
      </c>
      <c r="L126" s="18">
        <v>8.6205040873399405E-2</v>
      </c>
      <c r="M126" s="18">
        <v>2.0960471893368099E-3</v>
      </c>
      <c r="N126" s="18">
        <v>4.2436951672576999</v>
      </c>
      <c r="O126" s="18">
        <v>3.6791013359798001E-2</v>
      </c>
      <c r="P126" s="18">
        <v>2.4362323979865801</v>
      </c>
      <c r="Q126" s="18">
        <v>3.7071141234643397E-2</v>
      </c>
      <c r="R126" s="18">
        <v>0.21921713866359499</v>
      </c>
      <c r="S126" s="18">
        <v>1363.15945358352</v>
      </c>
      <c r="T126" s="18">
        <v>10.9089991852724</v>
      </c>
      <c r="U126" s="18">
        <v>1327.0148222134101</v>
      </c>
      <c r="V126" s="18">
        <v>46.338973444531</v>
      </c>
      <c r="W126" s="28">
        <v>50</v>
      </c>
    </row>
    <row r="127" spans="1:23" ht="16" x14ac:dyDescent="0.2">
      <c r="A127" s="11">
        <v>3</v>
      </c>
      <c r="B127" s="18" t="s">
        <v>289</v>
      </c>
      <c r="C127" s="11" t="s">
        <v>493</v>
      </c>
      <c r="D127" s="18">
        <v>21326.636147687499</v>
      </c>
      <c r="E127" s="18">
        <v>31187.076355054302</v>
      </c>
      <c r="F127" s="18">
        <v>-52.829706668809102</v>
      </c>
      <c r="G127" s="18">
        <v>145.653679979152</v>
      </c>
      <c r="H127" s="18">
        <v>0.46460873351558202</v>
      </c>
      <c r="I127" s="5"/>
      <c r="J127" s="7">
        <f t="shared" si="9"/>
        <v>-736.42656462573461</v>
      </c>
      <c r="K127" s="3">
        <v>10</v>
      </c>
      <c r="L127" s="18">
        <v>-0.69626951027519302</v>
      </c>
      <c r="M127" s="18">
        <v>0.73327402133935404</v>
      </c>
      <c r="N127" s="18">
        <v>-0.70464763495931004</v>
      </c>
      <c r="O127" s="18">
        <v>0.48399193842872301</v>
      </c>
      <c r="P127" s="18">
        <v>-1.00346885268908</v>
      </c>
      <c r="Q127" s="18">
        <v>0.58011256851402704</v>
      </c>
      <c r="R127" s="18">
        <v>3.6328489298784197E-2</v>
      </c>
      <c r="S127" s="18">
        <v>28811.553513230701</v>
      </c>
      <c r="T127" s="18">
        <v>3257.23722111595</v>
      </c>
      <c r="U127" s="18">
        <v>3444.6004863705698</v>
      </c>
      <c r="V127" s="18">
        <v>0</v>
      </c>
      <c r="W127" s="28">
        <v>50</v>
      </c>
    </row>
    <row r="128" spans="1:23" ht="16" x14ac:dyDescent="0.2">
      <c r="A128" s="11">
        <v>3</v>
      </c>
      <c r="B128" s="18" t="s">
        <v>290</v>
      </c>
      <c r="C128" s="11" t="s">
        <v>494</v>
      </c>
      <c r="D128" s="18">
        <v>623.77592871282002</v>
      </c>
      <c r="E128" s="18">
        <v>10.189377913674599</v>
      </c>
      <c r="F128" s="18">
        <v>5.8487111919208603</v>
      </c>
      <c r="G128" s="18">
        <v>0.11860332492091399</v>
      </c>
      <c r="H128" s="18">
        <v>0.87402412770967997</v>
      </c>
      <c r="I128" s="5"/>
      <c r="J128" s="7">
        <f t="shared" si="9"/>
        <v>-154.29800451829064</v>
      </c>
      <c r="K128" s="3">
        <v>10</v>
      </c>
      <c r="L128" s="18">
        <v>0.78066803218976999</v>
      </c>
      <c r="M128" s="18">
        <v>7.0857903055304497E-3</v>
      </c>
      <c r="N128" s="18">
        <v>0.17231485868128699</v>
      </c>
      <c r="O128" s="18">
        <v>3.42735026243412E-3</v>
      </c>
      <c r="P128" s="18">
        <v>2.3620570718662002</v>
      </c>
      <c r="Q128" s="18">
        <v>0.14673971693097901</v>
      </c>
      <c r="R128" s="18">
        <v>0.45069910286874398</v>
      </c>
      <c r="S128" s="18">
        <v>12382.180612710201</v>
      </c>
      <c r="T128" s="18">
        <v>113.460435615469</v>
      </c>
      <c r="U128" s="18">
        <v>4869.16153202437</v>
      </c>
      <c r="V128" s="18">
        <v>11.6126220612623</v>
      </c>
      <c r="W128" s="28">
        <v>50</v>
      </c>
    </row>
    <row r="129" spans="1:23" ht="16" x14ac:dyDescent="0.2">
      <c r="A129" s="11">
        <v>3</v>
      </c>
      <c r="B129" s="18" t="s">
        <v>291</v>
      </c>
      <c r="C129" s="11" t="s">
        <v>495</v>
      </c>
      <c r="D129" s="18">
        <v>850.02106014564197</v>
      </c>
      <c r="E129" s="18">
        <v>17.8795119949583</v>
      </c>
      <c r="F129" s="18">
        <v>7.9962256238829399</v>
      </c>
      <c r="G129" s="18">
        <v>0.16176330315585</v>
      </c>
      <c r="H129" s="18">
        <v>0.87128984634706697</v>
      </c>
      <c r="I129" s="5"/>
      <c r="J129" s="7">
        <f t="shared" si="9"/>
        <v>-191.25864976776569</v>
      </c>
      <c r="K129" s="3">
        <v>10</v>
      </c>
      <c r="L129" s="18">
        <v>0.77024262888567296</v>
      </c>
      <c r="M129" s="18">
        <v>8.1729329659807597E-3</v>
      </c>
      <c r="N129" s="18">
        <v>0.12631660708280201</v>
      </c>
      <c r="O129" s="18">
        <v>2.6087981603010102E-3</v>
      </c>
      <c r="P129" s="18">
        <v>5.2619109684752502E-2</v>
      </c>
      <c r="Q129" s="18">
        <v>2.4885322213719298E-3</v>
      </c>
      <c r="R129" s="18">
        <v>0.23883549298673301</v>
      </c>
      <c r="S129" s="18">
        <v>14124.014272192901</v>
      </c>
      <c r="T129" s="18">
        <v>115.414850508778</v>
      </c>
      <c r="U129" s="18">
        <v>4849.3029420601397</v>
      </c>
      <c r="V129" s="18">
        <v>13.9646440060688</v>
      </c>
      <c r="W129" s="28">
        <v>50</v>
      </c>
    </row>
    <row r="130" spans="1:23" ht="16" x14ac:dyDescent="0.2">
      <c r="A130" s="11">
        <v>3</v>
      </c>
      <c r="B130" s="18" t="s">
        <v>292</v>
      </c>
      <c r="C130" s="11" t="s">
        <v>496</v>
      </c>
      <c r="D130" s="18">
        <v>1535.35706271562</v>
      </c>
      <c r="E130" s="18">
        <v>39.377985826637499</v>
      </c>
      <c r="F130" s="18">
        <v>14.9312746204465</v>
      </c>
      <c r="G130" s="18">
        <v>0.36323929100549102</v>
      </c>
      <c r="H130" s="18">
        <v>0.85757906768669001</v>
      </c>
      <c r="I130" s="5"/>
      <c r="J130" s="7">
        <f t="shared" si="9"/>
        <v>-270.51587345524376</v>
      </c>
      <c r="K130" s="3">
        <v>10</v>
      </c>
      <c r="L130" s="18">
        <v>0.745365788221104</v>
      </c>
      <c r="M130" s="18">
        <v>9.9363251357416499E-3</v>
      </c>
      <c r="N130" s="18">
        <v>6.7878983210132193E-2</v>
      </c>
      <c r="O130" s="18">
        <v>1.67631978622815E-3</v>
      </c>
      <c r="P130" s="18">
        <v>1.68029356391146</v>
      </c>
      <c r="Q130" s="18">
        <v>8.5175650245014695E-2</v>
      </c>
      <c r="R130" s="18">
        <v>0.26967473544424497</v>
      </c>
      <c r="S130" s="18">
        <v>17801.433077011501</v>
      </c>
      <c r="T130" s="18">
        <v>151.94386700928399</v>
      </c>
      <c r="U130" s="18">
        <v>4804.4994431694204</v>
      </c>
      <c r="V130" s="18">
        <v>16.602667813738599</v>
      </c>
      <c r="W130" s="28">
        <v>50</v>
      </c>
    </row>
    <row r="131" spans="1:23" ht="16" x14ac:dyDescent="0.2">
      <c r="A131" s="11">
        <v>3</v>
      </c>
      <c r="B131" s="18" t="s">
        <v>293</v>
      </c>
      <c r="C131" s="11" t="s">
        <v>497</v>
      </c>
      <c r="D131" s="18">
        <v>2.3318487807214998</v>
      </c>
      <c r="E131" s="18">
        <v>4.0763410081311902E-2</v>
      </c>
      <c r="F131" s="18">
        <v>0.20948063753433599</v>
      </c>
      <c r="G131" s="18">
        <v>1.5578670128689701E-3</v>
      </c>
      <c r="H131" s="18">
        <v>0.11411746885261501</v>
      </c>
      <c r="I131" s="5"/>
      <c r="J131" s="7">
        <f t="shared" si="9"/>
        <v>-2.0403670918244687</v>
      </c>
      <c r="K131" s="3">
        <v>0</v>
      </c>
      <c r="L131" s="18">
        <v>8.0844135220290506E-2</v>
      </c>
      <c r="M131" s="18">
        <v>1.4718378106058699E-3</v>
      </c>
      <c r="N131" s="18">
        <v>4.7707932900622501</v>
      </c>
      <c r="O131" s="18">
        <v>3.5608064753424998E-2</v>
      </c>
      <c r="P131" s="18">
        <v>0.72471959175575396</v>
      </c>
      <c r="Q131" s="18">
        <v>8.5613790731877294E-3</v>
      </c>
      <c r="R131" s="18">
        <v>0.319518647436346</v>
      </c>
      <c r="S131" s="18">
        <v>1225.85506531326</v>
      </c>
      <c r="T131" s="18">
        <v>8.3027892057707309</v>
      </c>
      <c r="U131" s="18">
        <v>1201.3432529208101</v>
      </c>
      <c r="V131" s="18">
        <v>36.208319234386202</v>
      </c>
      <c r="W131" s="28">
        <v>50</v>
      </c>
    </row>
    <row r="132" spans="1:23" ht="16" x14ac:dyDescent="0.2">
      <c r="A132" s="11">
        <v>3</v>
      </c>
      <c r="B132" s="18" t="s">
        <v>340</v>
      </c>
      <c r="C132" s="11" t="s">
        <v>498</v>
      </c>
      <c r="D132" s="18">
        <v>-15.385049810268301</v>
      </c>
      <c r="E132" s="18">
        <v>587.50523382540905</v>
      </c>
      <c r="F132" s="18">
        <v>0.98518797333729502</v>
      </c>
      <c r="G132" s="18">
        <v>4.2346063102872096</v>
      </c>
      <c r="H132" s="18">
        <v>0.152398884653239</v>
      </c>
      <c r="I132" s="5"/>
      <c r="J132" s="7">
        <f t="shared" si="9"/>
        <v>-291.90782185566803</v>
      </c>
      <c r="K132" s="3">
        <v>10</v>
      </c>
      <c r="L132" s="18">
        <v>0.16750344473974399</v>
      </c>
      <c r="M132" s="18">
        <v>0.31342956005107397</v>
      </c>
      <c r="N132" s="18">
        <v>8.0047425901223906E-2</v>
      </c>
      <c r="O132" s="18">
        <v>1.8002849053347099E-2</v>
      </c>
      <c r="P132" s="18">
        <v>0.400093924234454</v>
      </c>
      <c r="Q132" s="18">
        <v>1.0109732057980101</v>
      </c>
      <c r="R132" s="18">
        <v>-6.2079649704272599E-2</v>
      </c>
      <c r="S132" s="18">
        <v>16315.135873867401</v>
      </c>
      <c r="T132" s="18">
        <v>170.08139224257701</v>
      </c>
      <c r="U132" s="18">
        <v>4163.0033809011202</v>
      </c>
      <c r="V132" s="18">
        <v>0</v>
      </c>
      <c r="W132" s="28">
        <v>50</v>
      </c>
    </row>
    <row r="133" spans="1:23" ht="16" x14ac:dyDescent="0.2">
      <c r="A133" s="11">
        <v>3</v>
      </c>
      <c r="B133" s="18" t="s">
        <v>294</v>
      </c>
      <c r="C133" s="11" t="s">
        <v>499</v>
      </c>
      <c r="D133" s="18">
        <v>347.091238640489</v>
      </c>
      <c r="E133" s="18">
        <v>5.1868018877271398</v>
      </c>
      <c r="F133" s="18">
        <v>3.3368288798661601</v>
      </c>
      <c r="G133" s="18">
        <v>5.59457685833658E-2</v>
      </c>
      <c r="H133" s="18">
        <v>0.77982768278219505</v>
      </c>
      <c r="I133" s="11"/>
      <c r="J133" s="7">
        <f t="shared" si="9"/>
        <v>-95.261772287616807</v>
      </c>
      <c r="K133" s="3">
        <v>10</v>
      </c>
      <c r="L133" s="18">
        <v>0.75764369551047295</v>
      </c>
      <c r="M133" s="18">
        <v>7.8737655372090997E-3</v>
      </c>
      <c r="N133" s="18">
        <v>0.30069632695894299</v>
      </c>
      <c r="O133" s="18">
        <v>4.95569305224352E-3</v>
      </c>
      <c r="P133" s="18">
        <v>1.66037154717976</v>
      </c>
      <c r="Q133" s="18">
        <v>7.3999417150229493E-2</v>
      </c>
      <c r="R133" s="18">
        <v>0.51944089828930196</v>
      </c>
      <c r="S133" s="18">
        <v>9437.9272322924498</v>
      </c>
      <c r="T133" s="18">
        <v>84.204151969042599</v>
      </c>
      <c r="U133" s="18">
        <v>4833.4741212891204</v>
      </c>
      <c r="V133" s="18">
        <v>13.878009410559301</v>
      </c>
      <c r="W133" s="28">
        <v>50</v>
      </c>
    </row>
    <row r="134" spans="1:23" ht="16" x14ac:dyDescent="0.2">
      <c r="A134" s="11">
        <v>3</v>
      </c>
      <c r="B134" s="18" t="s">
        <v>295</v>
      </c>
      <c r="C134" s="11" t="s">
        <v>500</v>
      </c>
      <c r="D134" s="18">
        <v>218.22233828199899</v>
      </c>
      <c r="E134" s="18">
        <v>3.2271834701206199</v>
      </c>
      <c r="F134" s="18">
        <v>2.1555065770592301</v>
      </c>
      <c r="G134" s="18">
        <v>3.8384880202735602E-2</v>
      </c>
      <c r="H134" s="18">
        <v>0.61940979084189496</v>
      </c>
      <c r="I134" s="11"/>
      <c r="J134" s="7">
        <f t="shared" si="9"/>
        <v>-54.378655030644808</v>
      </c>
      <c r="K134" s="3">
        <v>10</v>
      </c>
      <c r="L134" s="18">
        <v>0.73577200752355398</v>
      </c>
      <c r="M134" s="18">
        <v>9.9627258138110797E-3</v>
      </c>
      <c r="N134" s="18">
        <v>0.46691056811667198</v>
      </c>
      <c r="O134" s="18">
        <v>8.1577553216471699E-3</v>
      </c>
      <c r="P134" s="18">
        <v>1.7808267870346099</v>
      </c>
      <c r="Q134" s="18">
        <v>4.3616730737865997E-2</v>
      </c>
      <c r="R134" s="18">
        <v>0.58047948836031804</v>
      </c>
      <c r="S134" s="18">
        <v>7390.5207868396301</v>
      </c>
      <c r="T134" s="18">
        <v>78.345183973943904</v>
      </c>
      <c r="U134" s="18">
        <v>4787.2685413489198</v>
      </c>
      <c r="V134" s="18">
        <v>18.180967333244698</v>
      </c>
      <c r="W134" s="28">
        <v>50</v>
      </c>
    </row>
    <row r="135" spans="1:23" ht="16" x14ac:dyDescent="0.2">
      <c r="A135" s="11">
        <v>3</v>
      </c>
      <c r="B135" s="18" t="s">
        <v>296</v>
      </c>
      <c r="C135" s="11" t="s">
        <v>501</v>
      </c>
      <c r="D135" s="18">
        <v>2.8928429856752498</v>
      </c>
      <c r="E135" s="18">
        <v>5.9294451023114501E-2</v>
      </c>
      <c r="F135" s="18">
        <v>0.234045182225882</v>
      </c>
      <c r="G135" s="18">
        <v>3.2324614115886801E-3</v>
      </c>
      <c r="H135" s="18">
        <v>0.452244492177445</v>
      </c>
      <c r="I135" s="11"/>
      <c r="J135" s="7">
        <f t="shared" si="9"/>
        <v>3.3234421360543331</v>
      </c>
      <c r="K135" s="3">
        <v>0</v>
      </c>
      <c r="L135" s="18">
        <v>8.9762283681489599E-2</v>
      </c>
      <c r="M135" s="18">
        <v>1.6999883397396599E-3</v>
      </c>
      <c r="N135" s="18">
        <v>4.2719955243445096</v>
      </c>
      <c r="O135" s="18">
        <v>5.4939190096129298E-2</v>
      </c>
      <c r="P135" s="18">
        <v>1.0843574051534699</v>
      </c>
      <c r="Q135" s="18">
        <v>4.17269543763822E-2</v>
      </c>
      <c r="R135" s="18">
        <v>0.21849617616207201</v>
      </c>
      <c r="S135" s="18">
        <v>1356.9672716530699</v>
      </c>
      <c r="T135" s="18">
        <v>16.395614834371301</v>
      </c>
      <c r="U135" s="18">
        <v>1403.6156247544</v>
      </c>
      <c r="V135" s="18">
        <v>36.684166740940803</v>
      </c>
      <c r="W135" s="28">
        <v>50</v>
      </c>
    </row>
    <row r="136" spans="1:23" ht="16" x14ac:dyDescent="0.2">
      <c r="A136" s="11">
        <v>3</v>
      </c>
      <c r="B136" s="18" t="s">
        <v>297</v>
      </c>
      <c r="C136" s="11" t="s">
        <v>502</v>
      </c>
      <c r="D136" s="18">
        <v>189.70476208605501</v>
      </c>
      <c r="E136" s="18">
        <v>2.44197023341113</v>
      </c>
      <c r="F136" s="18">
        <v>1.9166832635998901</v>
      </c>
      <c r="G136" s="18">
        <v>2.79153635509518E-2</v>
      </c>
      <c r="H136" s="18">
        <v>0.69886482141386896</v>
      </c>
      <c r="I136" s="11"/>
      <c r="J136" s="7">
        <f t="shared" si="9"/>
        <v>-44.472522954036606</v>
      </c>
      <c r="K136" s="3">
        <v>10</v>
      </c>
      <c r="L136" s="18">
        <v>0.71982548801720003</v>
      </c>
      <c r="M136" s="18">
        <v>7.6757863465468203E-3</v>
      </c>
      <c r="N136" s="18">
        <v>0.524255587048298</v>
      </c>
      <c r="O136" s="18">
        <v>7.6342610846286104E-3</v>
      </c>
      <c r="P136" s="18">
        <v>39.953834468215398</v>
      </c>
      <c r="Q136" s="18">
        <v>5.4958009857025498</v>
      </c>
      <c r="R136" s="18">
        <v>0.49189199551780399</v>
      </c>
      <c r="S136" s="18">
        <v>6889.8191825386002</v>
      </c>
      <c r="T136" s="18">
        <v>61.503909791216699</v>
      </c>
      <c r="U136" s="18">
        <v>4768.94778443827</v>
      </c>
      <c r="V136" s="18">
        <v>14.9522343705016</v>
      </c>
      <c r="W136" s="28">
        <v>50</v>
      </c>
    </row>
    <row r="137" spans="1:23" ht="16" x14ac:dyDescent="0.2">
      <c r="A137" s="11">
        <v>3</v>
      </c>
      <c r="B137" s="18" t="s">
        <v>298</v>
      </c>
      <c r="C137" s="11" t="s">
        <v>503</v>
      </c>
      <c r="D137" s="18">
        <v>710.23185737900303</v>
      </c>
      <c r="E137" s="18">
        <v>15.730982619011799</v>
      </c>
      <c r="F137" s="18">
        <v>6.7690041036610502</v>
      </c>
      <c r="G137" s="18">
        <v>0.146040445881925</v>
      </c>
      <c r="H137" s="18">
        <v>0.85949117608072201</v>
      </c>
      <c r="I137" s="5"/>
      <c r="J137" s="7">
        <f t="shared" si="9"/>
        <v>-172.91648123749437</v>
      </c>
      <c r="K137" s="3">
        <v>10</v>
      </c>
      <c r="L137" s="18">
        <v>0.75853301893400105</v>
      </c>
      <c r="M137" s="18">
        <v>8.1922171077574192E-3</v>
      </c>
      <c r="N137" s="18">
        <v>0.149505418509635</v>
      </c>
      <c r="O137" s="18">
        <v>3.3297898437456802E-3</v>
      </c>
      <c r="P137" s="18">
        <v>1.05132748898544</v>
      </c>
      <c r="Q137" s="18">
        <v>4.4292445892135303E-2</v>
      </c>
      <c r="R137" s="18">
        <v>0.24513966483931701</v>
      </c>
      <c r="S137" s="18">
        <v>13189.7360878695</v>
      </c>
      <c r="T137" s="18">
        <v>124.736696639519</v>
      </c>
      <c r="U137" s="18">
        <v>4832.8836822396497</v>
      </c>
      <c r="V137" s="18">
        <v>13.6286079694472</v>
      </c>
      <c r="W137" s="28">
        <v>50</v>
      </c>
    </row>
    <row r="138" spans="1:23" ht="16" x14ac:dyDescent="0.2">
      <c r="A138" s="11">
        <v>3</v>
      </c>
      <c r="B138" s="18" t="s">
        <v>341</v>
      </c>
      <c r="C138" s="11" t="s">
        <v>504</v>
      </c>
      <c r="D138" s="18">
        <v>12381.242655480601</v>
      </c>
      <c r="E138" s="18">
        <v>33773.769594325597</v>
      </c>
      <c r="F138" s="18">
        <v>-408.38527884776801</v>
      </c>
      <c r="G138" s="18">
        <v>314.142617853736</v>
      </c>
      <c r="H138" s="18">
        <v>0.34150076698679199</v>
      </c>
      <c r="I138" s="11"/>
      <c r="J138" s="7">
        <f t="shared" si="9"/>
        <v>-411.98676019039715</v>
      </c>
      <c r="K138" s="3">
        <v>10</v>
      </c>
      <c r="L138" s="18">
        <v>-0.145975196832697</v>
      </c>
      <c r="M138" s="18">
        <v>0.343137845226132</v>
      </c>
      <c r="N138" s="18">
        <v>-0.85510511168190495</v>
      </c>
      <c r="O138" s="18">
        <v>0.37890240115234902</v>
      </c>
      <c r="P138" s="18">
        <v>-13.9584533289297</v>
      </c>
      <c r="Q138" s="18">
        <v>5.7481111279781096</v>
      </c>
      <c r="R138" s="18">
        <v>-8.4414723815237305E-2</v>
      </c>
      <c r="S138" s="18">
        <v>24981.874380355901</v>
      </c>
      <c r="T138" s="18">
        <v>2829.6504534359601</v>
      </c>
      <c r="U138" s="18">
        <v>4879.3985162947702</v>
      </c>
      <c r="V138" s="18">
        <v>15.255409947906401</v>
      </c>
      <c r="W138" s="28">
        <v>50</v>
      </c>
    </row>
    <row r="139" spans="1:23" ht="16" x14ac:dyDescent="0.2">
      <c r="A139" s="11">
        <v>3</v>
      </c>
      <c r="B139" s="18" t="s">
        <v>342</v>
      </c>
      <c r="C139" s="11" t="s">
        <v>505</v>
      </c>
      <c r="D139" s="18">
        <v>17.339991587394898</v>
      </c>
      <c r="E139" s="18">
        <v>786.48703925988195</v>
      </c>
      <c r="F139" s="18">
        <v>-4.0328344611765203</v>
      </c>
      <c r="G139" s="18">
        <v>6.1784334649025396</v>
      </c>
      <c r="H139" s="18">
        <v>-5.1506868698604803E-3</v>
      </c>
      <c r="I139" s="11"/>
      <c r="J139" s="7">
        <f t="shared" si="9"/>
        <v>-235.0235347573626</v>
      </c>
      <c r="K139" s="3">
        <v>10</v>
      </c>
      <c r="L139" s="18">
        <v>-6.4708459760735901E-2</v>
      </c>
      <c r="M139" s="18">
        <v>0.40979556763708802</v>
      </c>
      <c r="N139" s="18">
        <v>-0.93983531831548806</v>
      </c>
      <c r="O139" s="18">
        <v>0.44760101834753602</v>
      </c>
      <c r="P139" s="18">
        <v>99.179710560122402</v>
      </c>
      <c r="Q139" s="18">
        <v>40.504922542601399</v>
      </c>
      <c r="R139" s="18">
        <v>-6.6533931107442199E-2</v>
      </c>
      <c r="S139" s="18">
        <v>13906.586714172499</v>
      </c>
      <c r="T139" s="18">
        <v>1290.0646181004399</v>
      </c>
      <c r="U139" s="18">
        <v>4150.9282994832602</v>
      </c>
      <c r="V139" s="18">
        <v>0</v>
      </c>
      <c r="W139" s="28">
        <v>50</v>
      </c>
    </row>
    <row r="140" spans="1:23" ht="16" x14ac:dyDescent="0.2">
      <c r="A140" s="11">
        <v>3</v>
      </c>
      <c r="B140" s="18" t="s">
        <v>343</v>
      </c>
      <c r="C140" s="11" t="s">
        <v>506</v>
      </c>
      <c r="D140" s="18">
        <v>2423.7639624953699</v>
      </c>
      <c r="E140" s="18">
        <v>1238.0217123499001</v>
      </c>
      <c r="F140" s="18">
        <v>-6.8874921285984598</v>
      </c>
      <c r="G140" s="18">
        <v>13.743179365907499</v>
      </c>
      <c r="H140" s="18">
        <v>-0.101102624510806</v>
      </c>
      <c r="I140" s="11"/>
      <c r="J140" s="7" t="e">
        <f t="shared" si="9"/>
        <v>#VALUE!</v>
      </c>
      <c r="K140" s="3">
        <v>10</v>
      </c>
      <c r="L140" s="18">
        <v>0.46578638653711801</v>
      </c>
      <c r="M140" s="18">
        <v>0.388975393837523</v>
      </c>
      <c r="N140" s="18">
        <v>-0.87852940148247904</v>
      </c>
      <c r="O140" s="18">
        <v>0.46506597435307301</v>
      </c>
      <c r="P140" s="18">
        <v>125.712840333625</v>
      </c>
      <c r="Q140" s="18">
        <v>70.177442534616006</v>
      </c>
      <c r="R140" s="18">
        <v>-6.1683588658270103E-2</v>
      </c>
      <c r="S140" s="18">
        <v>17888.799720466599</v>
      </c>
      <c r="T140" s="18">
        <v>1425.0658415913399</v>
      </c>
      <c r="U140" s="18" t="s">
        <v>338</v>
      </c>
      <c r="V140" s="18" t="s">
        <v>338</v>
      </c>
      <c r="W140" s="28">
        <v>50</v>
      </c>
    </row>
    <row r="141" spans="1:23" ht="16" x14ac:dyDescent="0.2">
      <c r="A141" s="11">
        <v>3</v>
      </c>
      <c r="B141" s="18" t="s">
        <v>344</v>
      </c>
      <c r="C141" s="11" t="s">
        <v>507</v>
      </c>
      <c r="D141" s="18">
        <v>21861.767375613301</v>
      </c>
      <c r="E141" s="18">
        <v>68212.661247320604</v>
      </c>
      <c r="F141" s="18">
        <v>-76.170750791637303</v>
      </c>
      <c r="G141" s="18">
        <v>873.65596875146798</v>
      </c>
      <c r="H141" s="18">
        <v>-0.82328410259454998</v>
      </c>
      <c r="I141" s="5"/>
      <c r="J141" s="7" t="e">
        <f t="shared" si="9"/>
        <v>#VALUE!</v>
      </c>
      <c r="K141" s="3">
        <v>10</v>
      </c>
      <c r="L141" s="18">
        <v>-0.234672621873251</v>
      </c>
      <c r="M141" s="18">
        <v>0.48019930200890498</v>
      </c>
      <c r="N141" s="18">
        <v>-1.5372871609226499</v>
      </c>
      <c r="O141" s="18">
        <v>0.61020476941609703</v>
      </c>
      <c r="P141" s="18">
        <v>-65.295884746931605</v>
      </c>
      <c r="Q141" s="18">
        <v>18.6998669231183</v>
      </c>
      <c r="R141" s="18">
        <v>-3.10637222221E-3</v>
      </c>
      <c r="S141" s="18">
        <v>20470.680010144999</v>
      </c>
      <c r="T141" s="18">
        <v>3546.9457741144402</v>
      </c>
      <c r="U141" s="18" t="s">
        <v>338</v>
      </c>
      <c r="V141" s="18" t="s">
        <v>338</v>
      </c>
      <c r="W141" s="28">
        <v>50</v>
      </c>
    </row>
    <row r="142" spans="1:23" ht="16" x14ac:dyDescent="0.2">
      <c r="A142" s="11">
        <v>3</v>
      </c>
      <c r="B142" s="18" t="s">
        <v>345</v>
      </c>
      <c r="C142" s="11" t="s">
        <v>508</v>
      </c>
      <c r="D142" s="18">
        <v>2695.9296368056498</v>
      </c>
      <c r="E142" s="18">
        <v>1892.6954151873199</v>
      </c>
      <c r="F142" s="18">
        <v>-12.8577794641122</v>
      </c>
      <c r="G142" s="18">
        <v>18.044505857189101</v>
      </c>
      <c r="H142" s="18">
        <v>-0.155912559060853</v>
      </c>
      <c r="I142" s="5"/>
      <c r="J142" s="7" t="e">
        <f t="shared" si="9"/>
        <v>#VALUE!</v>
      </c>
      <c r="K142" s="3">
        <v>10</v>
      </c>
      <c r="L142" s="18">
        <v>0.284796334224795</v>
      </c>
      <c r="M142" s="18">
        <v>0.39961961217869602</v>
      </c>
      <c r="N142" s="18">
        <v>-1.96306003362099</v>
      </c>
      <c r="O142" s="18">
        <v>0.67648577141747701</v>
      </c>
      <c r="P142" s="18">
        <v>-13.5693526335589</v>
      </c>
      <c r="Q142" s="18">
        <v>4.2492513113588304</v>
      </c>
      <c r="R142" s="18">
        <v>-2.4393737494622501E-2</v>
      </c>
      <c r="S142" s="18">
        <v>16907.178725684</v>
      </c>
      <c r="T142" s="18">
        <v>2038.3018187093501</v>
      </c>
      <c r="U142" s="18" t="s">
        <v>338</v>
      </c>
      <c r="V142" s="18" t="s">
        <v>338</v>
      </c>
      <c r="W142" s="28">
        <v>50</v>
      </c>
    </row>
    <row r="143" spans="1:23" ht="16" x14ac:dyDescent="0.2">
      <c r="A143" s="11">
        <v>3</v>
      </c>
      <c r="B143" s="18" t="s">
        <v>346</v>
      </c>
      <c r="C143" s="11" t="s">
        <v>509</v>
      </c>
      <c r="D143" s="18">
        <v>-3778.8401962495</v>
      </c>
      <c r="E143" s="18">
        <v>4921.4063487309604</v>
      </c>
      <c r="F143" s="18">
        <v>56.0134194712629</v>
      </c>
      <c r="G143" s="18">
        <v>51.44715337113</v>
      </c>
      <c r="H143" s="18">
        <v>-1.76014204305684E-2</v>
      </c>
      <c r="I143" s="5"/>
      <c r="J143" s="7">
        <f t="shared" si="9"/>
        <v>-572.97761547642892</v>
      </c>
      <c r="K143" s="3">
        <v>10</v>
      </c>
      <c r="L143" s="18">
        <v>8.8237507185757597E-2</v>
      </c>
      <c r="M143" s="18">
        <v>0.38321908566731799</v>
      </c>
      <c r="N143" s="18">
        <v>-8.9054021355367094E-2</v>
      </c>
      <c r="O143" s="18">
        <v>0.15591894807468301</v>
      </c>
      <c r="P143" s="18">
        <v>-5.06410137621807</v>
      </c>
      <c r="Q143" s="18">
        <v>3.1227112735719702</v>
      </c>
      <c r="R143" s="18">
        <v>1.1543879673937801E-3</v>
      </c>
      <c r="S143" s="18">
        <v>27820.809361204399</v>
      </c>
      <c r="T143" s="18">
        <v>6009.4561925187199</v>
      </c>
      <c r="U143" s="18">
        <v>4133.9873305457404</v>
      </c>
      <c r="V143" s="18">
        <v>0</v>
      </c>
      <c r="W143" s="28">
        <v>50</v>
      </c>
    </row>
    <row r="144" spans="1:23" ht="16" x14ac:dyDescent="0.2">
      <c r="A144" s="11">
        <v>3</v>
      </c>
      <c r="B144" s="18" t="s">
        <v>347</v>
      </c>
      <c r="C144" s="11" t="s">
        <v>510</v>
      </c>
      <c r="D144" s="18">
        <v>738.06706694843501</v>
      </c>
      <c r="E144" s="18">
        <v>1803.14651696077</v>
      </c>
      <c r="F144" s="18">
        <v>5.0939404259038596</v>
      </c>
      <c r="G144" s="18">
        <v>16.772838129833701</v>
      </c>
      <c r="H144" s="18">
        <v>-0.145421107557684</v>
      </c>
      <c r="I144" s="5"/>
      <c r="J144" s="7" t="e">
        <f t="shared" si="9"/>
        <v>#VALUE!</v>
      </c>
      <c r="K144" s="3">
        <v>10</v>
      </c>
      <c r="L144" s="18">
        <v>-8.1893273040181805E-2</v>
      </c>
      <c r="M144" s="18">
        <v>0.36236402930279699</v>
      </c>
      <c r="N144" s="18">
        <v>1.3887528858776499E-2</v>
      </c>
      <c r="O144" s="18">
        <v>9.7245886348584304E-2</v>
      </c>
      <c r="P144" s="18">
        <v>46.301538869387898</v>
      </c>
      <c r="Q144" s="18">
        <v>24.521148062312001</v>
      </c>
      <c r="R144" s="18">
        <v>0.12698602470110601</v>
      </c>
      <c r="S144" s="18">
        <v>19547.320742338699</v>
      </c>
      <c r="T144" s="18">
        <v>1480.5767332993701</v>
      </c>
      <c r="U144" s="18" t="s">
        <v>338</v>
      </c>
      <c r="V144" s="18" t="s">
        <v>338</v>
      </c>
      <c r="W144" s="28">
        <v>50</v>
      </c>
    </row>
    <row r="145" spans="1:23" ht="16" x14ac:dyDescent="0.2">
      <c r="A145" s="11">
        <v>3</v>
      </c>
      <c r="B145" s="18" t="s">
        <v>299</v>
      </c>
      <c r="C145" s="11" t="s">
        <v>511</v>
      </c>
      <c r="D145" s="18">
        <v>2.80167364598339</v>
      </c>
      <c r="E145" s="18">
        <v>4.3066175690001103E-2</v>
      </c>
      <c r="F145" s="18">
        <v>0.233206297567255</v>
      </c>
      <c r="G145" s="18">
        <v>1.8337866957801299E-3</v>
      </c>
      <c r="H145" s="18">
        <v>0.37471088994929702</v>
      </c>
      <c r="I145" s="5"/>
      <c r="J145" s="7">
        <f t="shared" si="9"/>
        <v>5.7486027506725712E-2</v>
      </c>
      <c r="K145" s="3">
        <v>0</v>
      </c>
      <c r="L145" s="18">
        <v>8.6578399493073194E-2</v>
      </c>
      <c r="M145" s="18">
        <v>1.20750327342733E-3</v>
      </c>
      <c r="N145" s="18">
        <v>4.2839730528468998</v>
      </c>
      <c r="O145" s="18">
        <v>3.3552573863209603E-2</v>
      </c>
      <c r="P145" s="18">
        <v>1.8319752037097801</v>
      </c>
      <c r="Q145" s="18">
        <v>2.09927910966696E-2</v>
      </c>
      <c r="R145" s="18">
        <v>0.19284263160166801</v>
      </c>
      <c r="S145" s="18">
        <v>1351.0216263464199</v>
      </c>
      <c r="T145" s="18">
        <v>9.5759231480062699</v>
      </c>
      <c r="U145" s="18">
        <v>1351.7987217314301</v>
      </c>
      <c r="V145" s="18">
        <v>27.805206031832899</v>
      </c>
      <c r="W145" s="28">
        <v>50</v>
      </c>
    </row>
    <row r="146" spans="1:23" ht="16" x14ac:dyDescent="0.2">
      <c r="A146" s="11">
        <v>3</v>
      </c>
      <c r="B146" s="18" t="s">
        <v>348</v>
      </c>
      <c r="C146" s="11" t="s">
        <v>512</v>
      </c>
      <c r="D146" s="18">
        <v>560.93007682024904</v>
      </c>
      <c r="E146" s="18">
        <v>21.338675447314799</v>
      </c>
      <c r="F146" s="18">
        <v>2.3151996576639</v>
      </c>
      <c r="G146" s="18">
        <v>2.2421120201386699</v>
      </c>
      <c r="H146" s="18">
        <v>0.27458258158971</v>
      </c>
      <c r="I146" s="11"/>
      <c r="J146" s="7">
        <f t="shared" si="9"/>
        <v>-214.73420416418497</v>
      </c>
      <c r="K146" s="3">
        <v>10</v>
      </c>
      <c r="L146" s="18">
        <v>0.49254444316930601</v>
      </c>
      <c r="M146" s="18">
        <v>4.0538446212605099E-2</v>
      </c>
      <c r="N146" s="18">
        <v>0.12568795750079401</v>
      </c>
      <c r="O146" s="18">
        <v>2.46728263492621E-2</v>
      </c>
      <c r="P146" s="18">
        <v>4.5140502327239096</v>
      </c>
      <c r="Q146" s="18">
        <v>1.516085246237</v>
      </c>
      <c r="R146" s="18">
        <v>-4.8101133497284697E-2</v>
      </c>
      <c r="S146" s="18">
        <v>13856.434581309401</v>
      </c>
      <c r="T146" s="18">
        <v>48.704277140693101</v>
      </c>
      <c r="U146" s="18">
        <v>4402.5830043184696</v>
      </c>
      <c r="V146" s="18">
        <v>3.5205686268565501</v>
      </c>
      <c r="W146" s="28">
        <v>50</v>
      </c>
    </row>
    <row r="147" spans="1:23" ht="16" x14ac:dyDescent="0.2">
      <c r="A147" s="11">
        <v>3</v>
      </c>
      <c r="B147" s="18" t="s">
        <v>300</v>
      </c>
      <c r="C147" s="11" t="s">
        <v>513</v>
      </c>
      <c r="D147" s="18">
        <v>19.209580240822099</v>
      </c>
      <c r="E147" s="18">
        <v>0.46022226286461299</v>
      </c>
      <c r="F147" s="18">
        <v>0.33546781201173198</v>
      </c>
      <c r="G147" s="18">
        <v>6.9534565505983397E-3</v>
      </c>
      <c r="H147" s="18">
        <v>0.61116281415198603</v>
      </c>
      <c r="I147" s="5"/>
      <c r="J147" s="7">
        <f t="shared" si="9"/>
        <v>52.986299801472846</v>
      </c>
      <c r="K147" s="3">
        <v>10</v>
      </c>
      <c r="L147" s="18">
        <v>0.416009934691417</v>
      </c>
      <c r="M147" s="18">
        <v>8.3388987643089902E-3</v>
      </c>
      <c r="N147" s="18">
        <v>3.01645674011607</v>
      </c>
      <c r="O147" s="18">
        <v>6.1971246705056299E-2</v>
      </c>
      <c r="P147" s="18">
        <v>3.6046170996294999</v>
      </c>
      <c r="Q147" s="18">
        <v>0.16282319576711199</v>
      </c>
      <c r="R147" s="18">
        <v>0.32103187495227398</v>
      </c>
      <c r="S147" s="18">
        <v>1861.7427741316701</v>
      </c>
      <c r="T147" s="18">
        <v>33.441109544671299</v>
      </c>
      <c r="U147" s="18">
        <v>3960.0005238260201</v>
      </c>
      <c r="V147" s="18">
        <v>29.113527676103601</v>
      </c>
      <c r="W147" s="28">
        <v>50</v>
      </c>
    </row>
    <row r="148" spans="1:23" ht="16" x14ac:dyDescent="0.2">
      <c r="A148" s="11">
        <v>3</v>
      </c>
      <c r="B148" s="18" t="s">
        <v>301</v>
      </c>
      <c r="C148" s="11" t="s">
        <v>514</v>
      </c>
      <c r="D148" s="18">
        <v>5.41566634260729</v>
      </c>
      <c r="E148" s="18">
        <v>0.1313219412818</v>
      </c>
      <c r="F148" s="18">
        <v>0.33608500234231298</v>
      </c>
      <c r="G148" s="18">
        <v>4.0859121178271601E-3</v>
      </c>
      <c r="H148" s="18">
        <v>0.187107483401276</v>
      </c>
      <c r="I148" s="5"/>
      <c r="J148" s="7">
        <f t="shared" si="9"/>
        <v>0.91227214645752674</v>
      </c>
      <c r="K148" s="3">
        <v>0</v>
      </c>
      <c r="L148" s="18">
        <v>0.11658921721558101</v>
      </c>
      <c r="M148" s="18">
        <v>2.8329135594948002E-3</v>
      </c>
      <c r="N148" s="18">
        <v>2.9768963480570698</v>
      </c>
      <c r="O148" s="18">
        <v>3.5398343445662603E-2</v>
      </c>
      <c r="P148" s="18">
        <v>3.5954979687989601</v>
      </c>
      <c r="Q148" s="18">
        <v>6.0345293755870902E-2</v>
      </c>
      <c r="R148" s="18">
        <v>0.31940316904274202</v>
      </c>
      <c r="S148" s="18">
        <v>1866.7151785477499</v>
      </c>
      <c r="T148" s="18">
        <v>19.7145371481081</v>
      </c>
      <c r="U148" s="18">
        <v>1883.90148708109</v>
      </c>
      <c r="V148" s="18">
        <v>46.3284535227343</v>
      </c>
      <c r="W148" s="28">
        <v>50</v>
      </c>
    </row>
    <row r="149" spans="1:23" ht="16" x14ac:dyDescent="0.2">
      <c r="A149" s="11">
        <v>3</v>
      </c>
      <c r="B149" s="18" t="s">
        <v>302</v>
      </c>
      <c r="C149" s="11" t="s">
        <v>515</v>
      </c>
      <c r="D149" s="18">
        <v>836.14067093544497</v>
      </c>
      <c r="E149" s="18">
        <v>22.085650845112902</v>
      </c>
      <c r="F149" s="18">
        <v>7.8431785149450697</v>
      </c>
      <c r="G149" s="18">
        <v>0.19826067884451301</v>
      </c>
      <c r="H149" s="18">
        <v>0.86708141060555599</v>
      </c>
      <c r="I149" s="24"/>
      <c r="J149" s="7">
        <f t="shared" si="9"/>
        <v>-188.64936247184687</v>
      </c>
      <c r="K149" s="3">
        <v>10</v>
      </c>
      <c r="L149" s="18">
        <v>0.77299681041858903</v>
      </c>
      <c r="M149" s="18">
        <v>9.8506278518372403E-3</v>
      </c>
      <c r="N149" s="18">
        <v>0.13006077398607499</v>
      </c>
      <c r="O149" s="18">
        <v>3.2718573176604301E-3</v>
      </c>
      <c r="P149" s="18">
        <v>2.65104038610776</v>
      </c>
      <c r="Q149" s="18">
        <v>0.188966238927188</v>
      </c>
      <c r="R149" s="18">
        <v>0.201325571586987</v>
      </c>
      <c r="S149" s="18">
        <v>13992.350526857899</v>
      </c>
      <c r="T149" s="18">
        <v>143.65241202085701</v>
      </c>
      <c r="U149" s="18">
        <v>4847.5251796970897</v>
      </c>
      <c r="V149" s="18">
        <v>15.2388707816751</v>
      </c>
      <c r="W149" s="28">
        <v>50</v>
      </c>
    </row>
    <row r="150" spans="1:23" ht="16" x14ac:dyDescent="0.2">
      <c r="A150" s="11">
        <v>3</v>
      </c>
      <c r="B150" s="18" t="s">
        <v>303</v>
      </c>
      <c r="C150" s="11" t="s">
        <v>516</v>
      </c>
      <c r="D150" s="18">
        <v>644.11211565818098</v>
      </c>
      <c r="E150" s="18">
        <v>12.5133948917449</v>
      </c>
      <c r="F150" s="18">
        <v>6.15963189025166</v>
      </c>
      <c r="G150" s="18">
        <v>0.12191943886619901</v>
      </c>
      <c r="H150" s="18">
        <v>0.81881174938982704</v>
      </c>
      <c r="I150" s="24"/>
      <c r="J150" s="7">
        <f t="shared" si="9"/>
        <v>-162.22817815981907</v>
      </c>
      <c r="K150" s="3">
        <v>10</v>
      </c>
      <c r="L150" s="18">
        <v>0.75882311924161805</v>
      </c>
      <c r="M150" s="18">
        <v>9.1477954112499302E-3</v>
      </c>
      <c r="N150" s="18">
        <v>0.16378554255745001</v>
      </c>
      <c r="O150" s="18">
        <v>3.2381595786124301E-3</v>
      </c>
      <c r="P150" s="18">
        <v>1.71007408383052</v>
      </c>
      <c r="Q150" s="18">
        <v>7.8802438868962599E-2</v>
      </c>
      <c r="R150" s="18">
        <v>0.32909323712002603</v>
      </c>
      <c r="S150" s="18">
        <v>12668.6257954416</v>
      </c>
      <c r="T150" s="18">
        <v>110.945658321593</v>
      </c>
      <c r="U150" s="18">
        <v>4831.1458685879697</v>
      </c>
      <c r="V150" s="18">
        <v>16.238198095928301</v>
      </c>
      <c r="W150" s="28">
        <v>50</v>
      </c>
    </row>
    <row r="151" spans="1:23" ht="16" x14ac:dyDescent="0.2">
      <c r="A151" s="11">
        <v>3</v>
      </c>
      <c r="B151" s="18" t="s">
        <v>349</v>
      </c>
      <c r="C151" s="11" t="s">
        <v>517</v>
      </c>
      <c r="D151" s="18">
        <v>1014.12826581092</v>
      </c>
      <c r="E151" s="18">
        <v>556.62152158444405</v>
      </c>
      <c r="F151" s="18">
        <v>4.5278716875085401</v>
      </c>
      <c r="G151" s="18">
        <v>4.4951357659281204</v>
      </c>
      <c r="H151" s="18">
        <v>9.3604429143043094E-2</v>
      </c>
      <c r="I151" s="26"/>
      <c r="J151" s="7" t="e">
        <f t="shared" si="9"/>
        <v>#VALUE!</v>
      </c>
      <c r="K151" s="3">
        <v>10</v>
      </c>
      <c r="L151" s="18">
        <v>0.34189321677506601</v>
      </c>
      <c r="M151" s="18">
        <v>0.367813284930819</v>
      </c>
      <c r="N151" s="18">
        <v>9.0905742552050597E-2</v>
      </c>
      <c r="O151" s="18">
        <v>2.3475577132773599E-2</v>
      </c>
      <c r="P151" s="18">
        <v>0.27243597043411899</v>
      </c>
      <c r="Q151" s="18">
        <v>1.2439853780212E-2</v>
      </c>
      <c r="R151" s="18">
        <v>-6.7318256126057005E-2</v>
      </c>
      <c r="S151" s="18">
        <v>16447.287423911101</v>
      </c>
      <c r="T151" s="18">
        <v>429.60038593897298</v>
      </c>
      <c r="U151" s="18" t="s">
        <v>338</v>
      </c>
      <c r="V151" s="18" t="s">
        <v>338</v>
      </c>
      <c r="W151" s="28">
        <v>50</v>
      </c>
    </row>
    <row r="152" spans="1:23" ht="16" x14ac:dyDescent="0.2">
      <c r="A152" s="11">
        <v>3</v>
      </c>
      <c r="B152" s="18" t="s">
        <v>304</v>
      </c>
      <c r="C152" s="11" t="s">
        <v>518</v>
      </c>
      <c r="D152" s="18">
        <v>1430.1387596535801</v>
      </c>
      <c r="E152" s="18">
        <v>37.357924647836597</v>
      </c>
      <c r="F152" s="18">
        <v>14.019794868624301</v>
      </c>
      <c r="G152" s="18">
        <v>0.37419638500747598</v>
      </c>
      <c r="H152" s="18">
        <v>0.95790876492960997</v>
      </c>
      <c r="I152" s="24"/>
      <c r="J152" s="7">
        <f t="shared" si="9"/>
        <v>-262.08322197096084</v>
      </c>
      <c r="K152" s="3">
        <v>10</v>
      </c>
      <c r="L152" s="18">
        <v>0.73810646973516303</v>
      </c>
      <c r="M152" s="18">
        <v>5.6303740039235E-3</v>
      </c>
      <c r="N152" s="18">
        <v>7.2437060050794103E-2</v>
      </c>
      <c r="O152" s="18">
        <v>1.8995064709832401E-3</v>
      </c>
      <c r="P152" s="18">
        <v>0.215169397006897</v>
      </c>
      <c r="Q152" s="18">
        <v>9.2110273506130508E-3</v>
      </c>
      <c r="R152" s="18">
        <v>0.23450697802367201</v>
      </c>
      <c r="S152" s="18">
        <v>17396.1956110151</v>
      </c>
      <c r="T152" s="18">
        <v>155.084512713317</v>
      </c>
      <c r="U152" s="18">
        <v>4804.4743736870196</v>
      </c>
      <c r="V152" s="18">
        <v>11.0107836784501</v>
      </c>
      <c r="W152" s="28">
        <v>50</v>
      </c>
    </row>
    <row r="153" spans="1:23" ht="16" x14ac:dyDescent="0.2">
      <c r="A153" s="11">
        <v>3</v>
      </c>
      <c r="B153" s="18" t="s">
        <v>305</v>
      </c>
      <c r="C153" s="11" t="s">
        <v>519</v>
      </c>
      <c r="D153" s="18">
        <v>6.7097614469664597</v>
      </c>
      <c r="E153" s="18">
        <v>9.9725969496350902E-2</v>
      </c>
      <c r="F153" s="18">
        <v>0.37815186061443401</v>
      </c>
      <c r="G153" s="18">
        <v>3.2117575084412101E-3</v>
      </c>
      <c r="H153" s="18">
        <v>0.27314385445042599</v>
      </c>
      <c r="I153" s="24"/>
      <c r="J153" s="7">
        <f t="shared" si="9"/>
        <v>0.26506156116767876</v>
      </c>
      <c r="K153" s="3">
        <v>0</v>
      </c>
      <c r="L153" s="18">
        <v>0.12886183048566099</v>
      </c>
      <c r="M153" s="18">
        <v>1.98664720972232E-3</v>
      </c>
      <c r="N153" s="18">
        <v>2.6432093264776499</v>
      </c>
      <c r="O153" s="18">
        <v>2.2270035624646599E-2</v>
      </c>
      <c r="P153" s="18">
        <v>1.4562463786997299</v>
      </c>
      <c r="Q153" s="18">
        <v>1.33900485134052E-2</v>
      </c>
      <c r="R153" s="18">
        <v>0.29979749601858502</v>
      </c>
      <c r="S153" s="18">
        <v>2067.0072668673001</v>
      </c>
      <c r="T153" s="18">
        <v>14.9951019401019</v>
      </c>
      <c r="U153" s="18">
        <v>2072.5006694970798</v>
      </c>
      <c r="V153" s="18">
        <v>27.294700840503399</v>
      </c>
      <c r="W153" s="28">
        <v>50</v>
      </c>
    </row>
    <row r="154" spans="1:23" ht="16" x14ac:dyDescent="0.2">
      <c r="A154" s="11">
        <v>3</v>
      </c>
      <c r="B154" s="18" t="s">
        <v>350</v>
      </c>
      <c r="C154" s="11" t="s">
        <v>520</v>
      </c>
      <c r="D154" s="18">
        <v>-113.572850580722</v>
      </c>
      <c r="E154" s="18">
        <v>262.89229809015598</v>
      </c>
      <c r="F154" s="18">
        <v>-2.7465053480836499</v>
      </c>
      <c r="G154" s="18">
        <v>2.1927162486698899</v>
      </c>
      <c r="H154" s="18">
        <v>-0.13922690485963901</v>
      </c>
      <c r="I154" s="24"/>
      <c r="J154" s="7" t="e">
        <f t="shared" si="9"/>
        <v>#VALUE!</v>
      </c>
      <c r="K154" s="3">
        <v>10</v>
      </c>
      <c r="L154" s="18">
        <v>-0.21045173298606101</v>
      </c>
      <c r="M154" s="18">
        <v>0.38861946609815401</v>
      </c>
      <c r="N154" s="18">
        <v>-1.2286428441811801</v>
      </c>
      <c r="O154" s="18">
        <v>0.55381086711177596</v>
      </c>
      <c r="P154" s="18">
        <v>-53.211669924772202</v>
      </c>
      <c r="Q154" s="18">
        <v>16.950647653775</v>
      </c>
      <c r="R154" s="18">
        <v>-3.9416561154783099E-2</v>
      </c>
      <c r="S154" s="18">
        <v>7708.1398894323602</v>
      </c>
      <c r="T154" s="18">
        <v>964.68486392330897</v>
      </c>
      <c r="U154" s="18" t="s">
        <v>338</v>
      </c>
      <c r="V154" s="18" t="s">
        <v>338</v>
      </c>
      <c r="W154" s="28">
        <v>50</v>
      </c>
    </row>
    <row r="155" spans="1:23" ht="16" x14ac:dyDescent="0.2">
      <c r="A155" s="11">
        <v>3</v>
      </c>
      <c r="B155" s="18" t="s">
        <v>306</v>
      </c>
      <c r="C155" s="11" t="s">
        <v>521</v>
      </c>
      <c r="D155" s="18">
        <v>1098.3305145376601</v>
      </c>
      <c r="E155" s="18">
        <v>38.837533217346</v>
      </c>
      <c r="F155" s="18">
        <v>10.401304779391699</v>
      </c>
      <c r="G155" s="18">
        <v>0.362718531986012</v>
      </c>
      <c r="H155" s="18">
        <v>0.95332903133731295</v>
      </c>
      <c r="I155" s="24"/>
      <c r="J155" s="7">
        <f t="shared" si="9"/>
        <v>-221.26135768015155</v>
      </c>
      <c r="K155" s="3">
        <v>10</v>
      </c>
      <c r="L155" s="18">
        <v>0.765430636688472</v>
      </c>
      <c r="M155" s="18">
        <v>7.8620153588293898E-3</v>
      </c>
      <c r="N155" s="18">
        <v>9.99718037882803E-2</v>
      </c>
      <c r="O155" s="18">
        <v>3.3406465357866898E-3</v>
      </c>
      <c r="P155" s="18">
        <v>3.8089310677536903E-2</v>
      </c>
      <c r="Q155" s="18">
        <v>9.1671072369179198E-4</v>
      </c>
      <c r="R155" s="18">
        <v>3.8055388270617399E-2</v>
      </c>
      <c r="S155" s="18">
        <v>15574.4559721677</v>
      </c>
      <c r="T155" s="18">
        <v>199.570431372179</v>
      </c>
      <c r="U155" s="18">
        <v>4847.90828396911</v>
      </c>
      <c r="V155" s="18">
        <v>13.2567080380369</v>
      </c>
      <c r="W155" s="28">
        <v>50</v>
      </c>
    </row>
    <row r="156" spans="1:23" ht="16" x14ac:dyDescent="0.2">
      <c r="A156" s="11">
        <v>3</v>
      </c>
      <c r="B156" s="18" t="s">
        <v>307</v>
      </c>
      <c r="C156" s="11" t="s">
        <v>522</v>
      </c>
      <c r="D156" s="18">
        <v>261.78408049251902</v>
      </c>
      <c r="E156" s="18">
        <v>3.9662800355827801</v>
      </c>
      <c r="F156" s="18">
        <v>2.3614636212022102</v>
      </c>
      <c r="G156" s="18">
        <v>3.5902810919642897E-2</v>
      </c>
      <c r="H156" s="18">
        <v>0.92575302540011895</v>
      </c>
      <c r="I156" s="26"/>
      <c r="J156" s="7">
        <f t="shared" si="9"/>
        <v>-58.548321884950582</v>
      </c>
      <c r="K156" s="3">
        <v>10</v>
      </c>
      <c r="L156" s="18">
        <v>0.80268156911576904</v>
      </c>
      <c r="M156" s="18">
        <v>4.5976857534461499E-3</v>
      </c>
      <c r="N156" s="18">
        <v>0.42591333267954701</v>
      </c>
      <c r="O156" s="18">
        <v>6.7086703281361701E-3</v>
      </c>
      <c r="P156" s="18">
        <v>42.678631019147304</v>
      </c>
      <c r="Q156" s="18">
        <v>5.5582740318754196</v>
      </c>
      <c r="R156" s="18">
        <v>8.2751858181713503E-2</v>
      </c>
      <c r="S156" s="18">
        <v>7801.8744286453102</v>
      </c>
      <c r="T156" s="18">
        <v>69.582824600416799</v>
      </c>
      <c r="U156" s="18">
        <v>4920.8180420267599</v>
      </c>
      <c r="V156" s="18">
        <v>7.8231921023116202</v>
      </c>
      <c r="W156" s="28">
        <v>50</v>
      </c>
    </row>
    <row r="157" spans="1:23" ht="16" x14ac:dyDescent="0.2">
      <c r="A157" s="11">
        <v>3</v>
      </c>
      <c r="B157" s="18" t="s">
        <v>308</v>
      </c>
      <c r="C157" s="11" t="s">
        <v>523</v>
      </c>
      <c r="D157" s="18">
        <v>98.074783139973107</v>
      </c>
      <c r="E157" s="18">
        <v>25.945339556495099</v>
      </c>
      <c r="F157" s="18">
        <v>1.8232163864420399E-2</v>
      </c>
      <c r="G157" s="18">
        <v>0.90996326371720504</v>
      </c>
      <c r="H157" s="18">
        <v>0.16915786899169899</v>
      </c>
      <c r="I157" s="24"/>
      <c r="J157" s="7">
        <f t="shared" si="9"/>
        <v>24.590234728306026</v>
      </c>
      <c r="K157" s="3">
        <v>10</v>
      </c>
      <c r="L157" s="18">
        <v>0.432932588712577</v>
      </c>
      <c r="M157" s="18">
        <v>7.5306498243972994E-2</v>
      </c>
      <c r="N157" s="18">
        <v>-0.90824919910861102</v>
      </c>
      <c r="O157" s="18">
        <v>1.44838810839953</v>
      </c>
      <c r="P157" s="18">
        <v>-1138.8251650674099</v>
      </c>
      <c r="Q157" s="18">
        <v>338.42002193752501</v>
      </c>
      <c r="R157" s="18">
        <v>0.25924652749239002</v>
      </c>
      <c r="S157" s="18">
        <v>3308.1448763307699</v>
      </c>
      <c r="T157" s="18">
        <v>706.48502970868299</v>
      </c>
      <c r="U157" s="18">
        <v>4386.8918891496996</v>
      </c>
      <c r="V157" s="18">
        <v>128.38095338009001</v>
      </c>
      <c r="W157" s="28">
        <v>50</v>
      </c>
    </row>
    <row r="158" spans="1:23" ht="16" x14ac:dyDescent="0.2">
      <c r="A158" s="11">
        <v>3</v>
      </c>
      <c r="B158" s="18" t="s">
        <v>351</v>
      </c>
      <c r="C158" s="11" t="s">
        <v>524</v>
      </c>
      <c r="D158" s="18">
        <v>-457.53499983260701</v>
      </c>
      <c r="E158" s="18">
        <v>787.55182335938503</v>
      </c>
      <c r="F158" s="18">
        <v>-5.5176884173862399</v>
      </c>
      <c r="G158" s="18">
        <v>7.4900224824370296</v>
      </c>
      <c r="H158" s="18">
        <v>-5.8953999906457201E-2</v>
      </c>
      <c r="I158" s="24"/>
      <c r="J158" s="7">
        <f t="shared" si="9"/>
        <v>-242.87283287140463</v>
      </c>
      <c r="K158" s="3">
        <v>10</v>
      </c>
      <c r="L158" s="18">
        <v>-0.244053306520708</v>
      </c>
      <c r="M158" s="18">
        <v>0.35507388987050698</v>
      </c>
      <c r="N158" s="18">
        <v>9.4635747389124197E-2</v>
      </c>
      <c r="O158" s="18">
        <v>3.6502654898562699E-2</v>
      </c>
      <c r="P158" s="18">
        <v>-17.266486777775398</v>
      </c>
      <c r="Q158" s="18">
        <v>11.718648606992801</v>
      </c>
      <c r="R158" s="18">
        <v>1.6743539169345401E-2</v>
      </c>
      <c r="S158" s="18">
        <v>15517.9917609191</v>
      </c>
      <c r="T158" s="18">
        <v>1175.1941848363999</v>
      </c>
      <c r="U158" s="18">
        <v>4525.8738147793601</v>
      </c>
      <c r="V158" s="18">
        <v>1.31666217496619</v>
      </c>
      <c r="W158" s="28">
        <v>50</v>
      </c>
    </row>
    <row r="159" spans="1:23" ht="16" x14ac:dyDescent="0.2">
      <c r="A159" s="11">
        <v>3</v>
      </c>
      <c r="B159" s="18" t="s">
        <v>309</v>
      </c>
      <c r="C159" s="11" t="s">
        <v>525</v>
      </c>
      <c r="D159" s="18">
        <v>684.86492759065197</v>
      </c>
      <c r="E159" s="18">
        <v>10.6699312230835</v>
      </c>
      <c r="F159" s="18">
        <v>6.4298975955186002</v>
      </c>
      <c r="G159" s="18">
        <v>0.11864866183325801</v>
      </c>
      <c r="H159" s="18">
        <v>0.82857080274961503</v>
      </c>
      <c r="I159" s="26"/>
      <c r="J159" s="7">
        <f t="shared" si="9"/>
        <v>-165.48485434498272</v>
      </c>
      <c r="K159" s="3">
        <v>10</v>
      </c>
      <c r="L159" s="18">
        <v>0.77418841417849005</v>
      </c>
      <c r="M159" s="18">
        <v>7.7345998829702802E-3</v>
      </c>
      <c r="N159" s="18">
        <v>0.15696467123845001</v>
      </c>
      <c r="O159" s="18">
        <v>2.8225979521131401E-3</v>
      </c>
      <c r="P159" s="18">
        <v>0.82825717554647404</v>
      </c>
      <c r="Q159" s="18">
        <v>6.3208033633948002E-2</v>
      </c>
      <c r="R159" s="18">
        <v>0.50512623002670698</v>
      </c>
      <c r="S159" s="18">
        <v>12898.9394347247</v>
      </c>
      <c r="T159" s="18">
        <v>101.52846050714</v>
      </c>
      <c r="U159" s="18">
        <v>4858.6347671506901</v>
      </c>
      <c r="V159" s="18">
        <v>13.072107413481699</v>
      </c>
      <c r="W159" s="28">
        <v>50</v>
      </c>
    </row>
    <row r="160" spans="1:23" ht="16" x14ac:dyDescent="0.2">
      <c r="A160" s="11">
        <v>3</v>
      </c>
      <c r="B160" s="18" t="s">
        <v>352</v>
      </c>
      <c r="C160" s="11" t="s">
        <v>526</v>
      </c>
      <c r="D160" s="18">
        <v>15.226456714819699</v>
      </c>
      <c r="E160" s="18">
        <v>446.876191296277</v>
      </c>
      <c r="F160" s="18">
        <v>-2.20912735110588</v>
      </c>
      <c r="G160" s="18">
        <v>3.9421988185380501</v>
      </c>
      <c r="H160" s="18">
        <v>-4.8130774204034998E-2</v>
      </c>
      <c r="I160" s="24"/>
      <c r="J160" s="7">
        <f t="shared" si="9"/>
        <v>-199.585330329524</v>
      </c>
      <c r="K160" s="3">
        <v>10</v>
      </c>
      <c r="L160" s="18">
        <v>-2.8482919278974499E-2</v>
      </c>
      <c r="M160" s="18">
        <v>0.34746265786944402</v>
      </c>
      <c r="N160" s="18">
        <v>4.7734196112585503E-2</v>
      </c>
      <c r="O160" s="18">
        <v>9.7914009655723902E-2</v>
      </c>
      <c r="P160" s="18">
        <v>17.8773805134805</v>
      </c>
      <c r="Q160" s="18">
        <v>24.023995562803801</v>
      </c>
      <c r="R160" s="18">
        <v>9.0387706080179604E-3</v>
      </c>
      <c r="S160" s="18">
        <v>14644.017920014599</v>
      </c>
      <c r="T160" s="18">
        <v>254.77690243759201</v>
      </c>
      <c r="U160" s="18">
        <v>4888.0957902401797</v>
      </c>
      <c r="V160" s="18">
        <v>5.4002568563838098</v>
      </c>
      <c r="W160" s="28">
        <v>50</v>
      </c>
    </row>
    <row r="161" spans="1:23" ht="16" x14ac:dyDescent="0.2">
      <c r="A161" s="11">
        <v>3</v>
      </c>
      <c r="B161" s="18" t="s">
        <v>310</v>
      </c>
      <c r="C161" s="11" t="s">
        <v>527</v>
      </c>
      <c r="D161" s="18">
        <v>661.27054592773595</v>
      </c>
      <c r="E161" s="18">
        <v>1552.4651329312701</v>
      </c>
      <c r="F161" s="18">
        <v>7.8407323616470004</v>
      </c>
      <c r="G161" s="18">
        <v>12.314761983896901</v>
      </c>
      <c r="H161" s="18">
        <v>0.99889512356602905</v>
      </c>
      <c r="I161" s="26"/>
      <c r="J161" s="7">
        <f t="shared" si="9"/>
        <v>-248.970476318225</v>
      </c>
      <c r="K161" s="3">
        <v>10</v>
      </c>
      <c r="L161" s="18">
        <v>0.75799882195965296</v>
      </c>
      <c r="M161" s="18">
        <v>2.41796437100259E-2</v>
      </c>
      <c r="N161" s="18">
        <v>9.0250860008505102E-2</v>
      </c>
      <c r="O161" s="18">
        <v>6.9206093417011998E-3</v>
      </c>
      <c r="P161" s="18">
        <v>9.5320001505503904E-2</v>
      </c>
      <c r="Q161" s="18">
        <v>2.5958221059202001E-2</v>
      </c>
      <c r="R161" s="18">
        <v>9.6499757818090504E-2</v>
      </c>
      <c r="S161" s="18">
        <v>16463.657356584601</v>
      </c>
      <c r="T161" s="18">
        <v>503.19983621001097</v>
      </c>
      <c r="U161" s="18">
        <v>4717.77943231262</v>
      </c>
      <c r="V161" s="18">
        <v>42.559721042462897</v>
      </c>
      <c r="W161" s="28">
        <v>50</v>
      </c>
    </row>
    <row r="162" spans="1:23" ht="16" x14ac:dyDescent="0.2">
      <c r="A162" s="11">
        <v>3</v>
      </c>
      <c r="B162" s="18" t="s">
        <v>311</v>
      </c>
      <c r="C162" s="11" t="s">
        <v>528</v>
      </c>
      <c r="D162" s="18">
        <v>3.1965646707121702</v>
      </c>
      <c r="E162" s="18">
        <v>5.5009367639167799E-2</v>
      </c>
      <c r="F162" s="18">
        <v>0.24991958144712201</v>
      </c>
      <c r="G162" s="18">
        <v>2.0270484907367798E-3</v>
      </c>
      <c r="H162" s="18">
        <v>0.21000629221925701</v>
      </c>
      <c r="I162" s="24"/>
      <c r="J162" s="7">
        <f t="shared" ref="J162:J181" si="10">(1-(S162/U162))*100</f>
        <v>2.0850878581035626</v>
      </c>
      <c r="K162" s="3">
        <v>0</v>
      </c>
      <c r="L162" s="18">
        <v>9.2737857437306406E-2</v>
      </c>
      <c r="M162" s="18">
        <v>1.61519835166552E-3</v>
      </c>
      <c r="N162" s="18">
        <v>3.9960983375661101</v>
      </c>
      <c r="O162" s="18">
        <v>3.2824353051124799E-2</v>
      </c>
      <c r="P162" s="18">
        <v>0.63643955973925603</v>
      </c>
      <c r="Q162" s="18">
        <v>1.3876696913153399E-2</v>
      </c>
      <c r="R162" s="18">
        <v>0.281265766477659</v>
      </c>
      <c r="S162" s="18">
        <v>1437.75242673446</v>
      </c>
      <c r="T162" s="18">
        <v>10.4337699925079</v>
      </c>
      <c r="U162" s="18">
        <v>1468.36921494746</v>
      </c>
      <c r="V162" s="18">
        <v>33.390302098777802</v>
      </c>
      <c r="W162" s="28">
        <v>50</v>
      </c>
    </row>
    <row r="163" spans="1:23" ht="16" x14ac:dyDescent="0.2">
      <c r="A163" s="11">
        <v>3</v>
      </c>
      <c r="B163" s="18" t="s">
        <v>312</v>
      </c>
      <c r="C163" s="11" t="s">
        <v>529</v>
      </c>
      <c r="D163" s="18">
        <v>5.3378280080601099</v>
      </c>
      <c r="E163" s="18">
        <v>0.11573087188700899</v>
      </c>
      <c r="F163" s="18">
        <v>0.33895931702965099</v>
      </c>
      <c r="G163" s="18">
        <v>3.1222784222980299E-3</v>
      </c>
      <c r="H163" s="18">
        <v>0.13328654474363</v>
      </c>
      <c r="I163" s="24"/>
      <c r="J163" s="7">
        <f t="shared" si="10"/>
        <v>-1.4249667950289258</v>
      </c>
      <c r="K163" s="3">
        <v>0</v>
      </c>
      <c r="L163" s="18">
        <v>0.114794249394866</v>
      </c>
      <c r="M163" s="18">
        <v>2.66042349988656E-3</v>
      </c>
      <c r="N163" s="18">
        <v>2.9482265944731201</v>
      </c>
      <c r="O163" s="18">
        <v>2.8130334945935299E-2</v>
      </c>
      <c r="P163" s="18">
        <v>2.6166683698344899</v>
      </c>
      <c r="Q163" s="18">
        <v>4.0417856363202602E-2</v>
      </c>
      <c r="R163" s="18">
        <v>0.282995105032952</v>
      </c>
      <c r="S163" s="18">
        <v>1881.0214610990299</v>
      </c>
      <c r="T163" s="18">
        <v>15.032751797998101</v>
      </c>
      <c r="U163" s="18">
        <v>1854.59411083704</v>
      </c>
      <c r="V163" s="18">
        <v>41.527453067809603</v>
      </c>
      <c r="W163" s="28">
        <v>50</v>
      </c>
    </row>
    <row r="164" spans="1:23" ht="16" x14ac:dyDescent="0.2">
      <c r="A164" s="11">
        <v>3</v>
      </c>
      <c r="B164" s="18" t="s">
        <v>313</v>
      </c>
      <c r="C164" s="11" t="s">
        <v>530</v>
      </c>
      <c r="D164" s="18">
        <v>850.82370661947004</v>
      </c>
      <c r="E164" s="18">
        <v>24.2801543267501</v>
      </c>
      <c r="F164" s="18">
        <v>8.3986560371863295</v>
      </c>
      <c r="G164" s="18">
        <v>0.26849125682564601</v>
      </c>
      <c r="H164" s="18">
        <v>0.91634069274136298</v>
      </c>
      <c r="I164" s="24"/>
      <c r="J164" s="7">
        <f t="shared" si="10"/>
        <v>-198.89330864445279</v>
      </c>
      <c r="K164" s="3">
        <v>10</v>
      </c>
      <c r="L164" s="18">
        <v>0.74004596635187603</v>
      </c>
      <c r="M164" s="18">
        <v>8.7875059998116095E-3</v>
      </c>
      <c r="N164" s="18">
        <v>0.12310415159672</v>
      </c>
      <c r="O164" s="18">
        <v>3.8609359211817201E-3</v>
      </c>
      <c r="P164" s="18">
        <v>0.41228564632599302</v>
      </c>
      <c r="Q164" s="18">
        <v>3.3936273608939499E-2</v>
      </c>
      <c r="R164" s="18">
        <v>0.381253686875483</v>
      </c>
      <c r="S164" s="18">
        <v>14350.760677312301</v>
      </c>
      <c r="T164" s="18">
        <v>181.03258752981699</v>
      </c>
      <c r="U164" s="18">
        <v>4801.29874515966</v>
      </c>
      <c r="V164" s="18">
        <v>16.655346343891299</v>
      </c>
      <c r="W164" s="28">
        <v>50</v>
      </c>
    </row>
    <row r="165" spans="1:23" ht="16" x14ac:dyDescent="0.2">
      <c r="A165" s="11">
        <v>3</v>
      </c>
      <c r="B165" s="18" t="s">
        <v>314</v>
      </c>
      <c r="C165" s="11" t="s">
        <v>531</v>
      </c>
      <c r="D165" s="18">
        <v>2.8294934210268599</v>
      </c>
      <c r="E165" s="18">
        <v>4.04226163045424E-2</v>
      </c>
      <c r="F165" s="18">
        <v>0.23734866703751101</v>
      </c>
      <c r="G165" s="18">
        <v>1.81438555302452E-3</v>
      </c>
      <c r="H165" s="18">
        <v>0.12087308735889001</v>
      </c>
      <c r="I165" s="24"/>
      <c r="J165" s="7">
        <f t="shared" si="10"/>
        <v>-2.7708358661852062</v>
      </c>
      <c r="K165" s="3">
        <v>0</v>
      </c>
      <c r="L165" s="18">
        <v>8.6420294397167793E-2</v>
      </c>
      <c r="M165" s="18">
        <v>1.3477622485154001E-3</v>
      </c>
      <c r="N165" s="18">
        <v>4.2136170482345197</v>
      </c>
      <c r="O165" s="18">
        <v>3.2045684781345E-2</v>
      </c>
      <c r="P165" s="18">
        <v>2.2678834614298702</v>
      </c>
      <c r="Q165" s="18">
        <v>2.0755615630521598E-2</v>
      </c>
      <c r="R165" s="18">
        <v>0.432654948097628</v>
      </c>
      <c r="S165" s="18">
        <v>1372.6461515762501</v>
      </c>
      <c r="T165" s="18">
        <v>9.4432759029090203</v>
      </c>
      <c r="U165" s="18">
        <v>1335.6378198222801</v>
      </c>
      <c r="V165" s="18">
        <v>30.651781333121399</v>
      </c>
      <c r="W165" s="28">
        <v>50</v>
      </c>
    </row>
    <row r="166" spans="1:23" ht="16" x14ac:dyDescent="0.2">
      <c r="A166" s="11">
        <v>3</v>
      </c>
      <c r="B166" s="18" t="s">
        <v>315</v>
      </c>
      <c r="C166" s="11" t="s">
        <v>532</v>
      </c>
      <c r="D166" s="18">
        <v>4.9520488236281803</v>
      </c>
      <c r="E166" s="18">
        <v>9.2252591121567404E-2</v>
      </c>
      <c r="F166" s="18">
        <v>0.325218365824057</v>
      </c>
      <c r="G166" s="18">
        <v>3.74902055911501E-3</v>
      </c>
      <c r="H166" s="18">
        <v>0.41387321643288799</v>
      </c>
      <c r="I166" s="26"/>
      <c r="J166" s="7">
        <f t="shared" si="10"/>
        <v>-1.007085828552734</v>
      </c>
      <c r="K166" s="3">
        <v>0</v>
      </c>
      <c r="L166" s="18">
        <v>0.11060815246552801</v>
      </c>
      <c r="M166" s="18">
        <v>1.93167684650772E-3</v>
      </c>
      <c r="N166" s="18">
        <v>3.0837911199492498</v>
      </c>
      <c r="O166" s="18">
        <v>3.5793476412144601E-2</v>
      </c>
      <c r="P166" s="18">
        <v>0.95114050666856897</v>
      </c>
      <c r="Q166" s="18">
        <v>2.7250428727020201E-2</v>
      </c>
      <c r="R166" s="18">
        <v>0.23840128301991201</v>
      </c>
      <c r="S166" s="18">
        <v>1814.2224026404001</v>
      </c>
      <c r="T166" s="18">
        <v>18.2319246637147</v>
      </c>
      <c r="U166" s="18">
        <v>1796.13379374178</v>
      </c>
      <c r="V166" s="18">
        <v>32.026678330936001</v>
      </c>
      <c r="W166" s="28">
        <v>50</v>
      </c>
    </row>
    <row r="167" spans="1:23" ht="16" x14ac:dyDescent="0.2">
      <c r="A167" s="11">
        <v>3</v>
      </c>
      <c r="B167" s="18" t="s">
        <v>316</v>
      </c>
      <c r="C167" s="11" t="s">
        <v>533</v>
      </c>
      <c r="D167" s="18">
        <v>2.1434413661314098</v>
      </c>
      <c r="E167" s="18">
        <v>1.96287152977422E-2</v>
      </c>
      <c r="F167" s="18">
        <v>0.200999955019902</v>
      </c>
      <c r="G167" s="18">
        <v>1.1152265343343901E-3</v>
      </c>
      <c r="H167" s="18">
        <v>0.39259928582503401</v>
      </c>
      <c r="I167" s="24"/>
      <c r="J167" s="7">
        <f t="shared" si="10"/>
        <v>-4.9073523234246075</v>
      </c>
      <c r="K167" s="3">
        <v>0</v>
      </c>
      <c r="L167" s="18">
        <v>7.7348628046761403E-2</v>
      </c>
      <c r="M167" s="18">
        <v>7.0491247841824299E-4</v>
      </c>
      <c r="N167" s="18">
        <v>4.9669730555830798</v>
      </c>
      <c r="O167" s="18">
        <v>2.6367962835516599E-2</v>
      </c>
      <c r="P167" s="18">
        <v>1.3256677132153301</v>
      </c>
      <c r="Q167" s="18">
        <v>9.5545206594992594E-3</v>
      </c>
      <c r="R167" s="18">
        <v>0.329287979203782</v>
      </c>
      <c r="S167" s="18">
        <v>1180.5884262961099</v>
      </c>
      <c r="T167" s="18">
        <v>5.9833267203689804</v>
      </c>
      <c r="U167" s="18">
        <v>1125.36290369469</v>
      </c>
      <c r="V167" s="18">
        <v>18.260317333690701</v>
      </c>
      <c r="W167" s="28">
        <v>50</v>
      </c>
    </row>
    <row r="168" spans="1:23" ht="16" x14ac:dyDescent="0.2">
      <c r="A168" s="11">
        <v>3</v>
      </c>
      <c r="B168" s="18" t="s">
        <v>317</v>
      </c>
      <c r="C168" s="11" t="s">
        <v>534</v>
      </c>
      <c r="D168" s="18">
        <v>3.2475507731253899</v>
      </c>
      <c r="E168" s="18">
        <v>0.31968412784324002</v>
      </c>
      <c r="F168" s="18">
        <v>0.26860923887730798</v>
      </c>
      <c r="G168" s="18">
        <v>1.0105119395913201E-2</v>
      </c>
      <c r="H168" s="18">
        <v>0.185278993288338</v>
      </c>
      <c r="I168" s="26"/>
      <c r="J168" s="7">
        <f t="shared" si="10"/>
        <v>-22.518880077976643</v>
      </c>
      <c r="K168" s="3">
        <v>10</v>
      </c>
      <c r="L168" s="18">
        <v>9.1117002737611003E-2</v>
      </c>
      <c r="M168" s="18">
        <v>9.10090557720168E-3</v>
      </c>
      <c r="N168" s="18">
        <v>3.8664246472130199</v>
      </c>
      <c r="O168" s="18">
        <v>0.15100770110527201</v>
      </c>
      <c r="P168" s="18">
        <v>-1881.0879492097399</v>
      </c>
      <c r="Q168" s="18">
        <v>607.86679809515499</v>
      </c>
      <c r="R168" s="18">
        <v>0.305754757104296</v>
      </c>
      <c r="S168" s="18">
        <v>1526.28407279051</v>
      </c>
      <c r="T168" s="18">
        <v>51.311674321260199</v>
      </c>
      <c r="U168" s="18">
        <v>1245.75418239141</v>
      </c>
      <c r="V168" s="18">
        <v>204.91083083931201</v>
      </c>
      <c r="W168" s="28">
        <v>50</v>
      </c>
    </row>
    <row r="169" spans="1:23" ht="16" x14ac:dyDescent="0.2">
      <c r="A169" s="11">
        <v>3</v>
      </c>
      <c r="B169" s="18" t="s">
        <v>353</v>
      </c>
      <c r="C169" s="11" t="s">
        <v>535</v>
      </c>
      <c r="D169" s="18">
        <v>480.64284676399899</v>
      </c>
      <c r="E169" s="18">
        <v>498.97330091732698</v>
      </c>
      <c r="F169" s="18">
        <v>7.2195046269342598</v>
      </c>
      <c r="G169" s="18">
        <v>3.72299899192685</v>
      </c>
      <c r="H169" s="18">
        <v>0.18908554114559101</v>
      </c>
      <c r="I169" s="24"/>
      <c r="J169" s="7">
        <f t="shared" si="10"/>
        <v>-284.83697346398691</v>
      </c>
      <c r="K169" s="3">
        <v>10</v>
      </c>
      <c r="L169" s="18">
        <v>0.52986797062748803</v>
      </c>
      <c r="M169" s="18">
        <v>8.9196428386076498E-2</v>
      </c>
      <c r="N169" s="18">
        <v>7.4244500312591305E-2</v>
      </c>
      <c r="O169" s="18">
        <v>2.62071238347375E-2</v>
      </c>
      <c r="P169" s="18">
        <v>-7.4063437395830096</v>
      </c>
      <c r="Q169" s="18">
        <v>0.53141841518573096</v>
      </c>
      <c r="R169" s="18">
        <v>-7.8595798408994805E-2</v>
      </c>
      <c r="S169" s="18">
        <v>17789.627874388902</v>
      </c>
      <c r="T169" s="18">
        <v>474.67727836323098</v>
      </c>
      <c r="U169" s="18">
        <v>4622.6400011052101</v>
      </c>
      <c r="V169" s="18">
        <v>8.1327703072852398</v>
      </c>
      <c r="W169" s="28">
        <v>50</v>
      </c>
    </row>
    <row r="170" spans="1:23" ht="16" x14ac:dyDescent="0.2">
      <c r="A170" s="11">
        <v>3</v>
      </c>
      <c r="B170" s="18" t="s">
        <v>354</v>
      </c>
      <c r="C170" s="11" t="s">
        <v>536</v>
      </c>
      <c r="D170" s="18">
        <v>1872.0644422740199</v>
      </c>
      <c r="E170" s="18">
        <v>16458.161701913599</v>
      </c>
      <c r="F170" s="18">
        <v>-31.798887045339502</v>
      </c>
      <c r="G170" s="18">
        <v>252.263630092683</v>
      </c>
      <c r="H170" s="18">
        <v>0.91296039065257495</v>
      </c>
      <c r="I170" s="26"/>
      <c r="J170" s="7">
        <f t="shared" si="10"/>
        <v>-616.23374607229903</v>
      </c>
      <c r="K170" s="3">
        <v>10</v>
      </c>
      <c r="L170" s="18">
        <v>0.69085791466202395</v>
      </c>
      <c r="M170" s="18">
        <v>5.0147497593633003E-2</v>
      </c>
      <c r="N170" s="18">
        <v>1.2812002995661201E-3</v>
      </c>
      <c r="O170" s="18">
        <v>1.1135446425157799E-3</v>
      </c>
      <c r="P170" s="18">
        <v>1.93572257597649</v>
      </c>
      <c r="Q170" s="18">
        <v>0.82297231499702705</v>
      </c>
      <c r="R170" s="18">
        <v>-3.5852807837138602E-2</v>
      </c>
      <c r="S170" s="18">
        <v>35219.911144631202</v>
      </c>
      <c r="T170" s="18">
        <v>1983.67334876874</v>
      </c>
      <c r="U170" s="18">
        <v>4917.3766717598901</v>
      </c>
      <c r="V170" s="18">
        <v>7.3750412072930596</v>
      </c>
      <c r="W170" s="28">
        <v>50</v>
      </c>
    </row>
    <row r="171" spans="1:23" ht="16" x14ac:dyDescent="0.2">
      <c r="A171" s="11">
        <v>3</v>
      </c>
      <c r="B171" s="18" t="s">
        <v>318</v>
      </c>
      <c r="C171" s="11" t="s">
        <v>537</v>
      </c>
      <c r="D171" s="18">
        <v>787.30334842590605</v>
      </c>
      <c r="E171" s="18">
        <v>30.8064711163615</v>
      </c>
      <c r="F171" s="18">
        <v>7.5966815748551602</v>
      </c>
      <c r="G171" s="18">
        <v>0.32269160278817199</v>
      </c>
      <c r="H171" s="18">
        <v>0.93322196226347098</v>
      </c>
      <c r="I171" s="24"/>
      <c r="J171" s="7">
        <f t="shared" si="10"/>
        <v>-184.68410853046245</v>
      </c>
      <c r="K171" s="3">
        <v>10</v>
      </c>
      <c r="L171" s="18">
        <v>0.75652069789712195</v>
      </c>
      <c r="M171" s="18">
        <v>1.03202220847837E-2</v>
      </c>
      <c r="N171" s="18">
        <v>0.14043937425067099</v>
      </c>
      <c r="O171" s="18">
        <v>6.1419001490515797E-3</v>
      </c>
      <c r="P171" s="18">
        <v>6.8468903735801001E-2</v>
      </c>
      <c r="Q171" s="18">
        <v>3.19984508407748E-3</v>
      </c>
      <c r="R171" s="18">
        <v>0.19546786769893801</v>
      </c>
      <c r="S171" s="18">
        <v>13704.5125595876</v>
      </c>
      <c r="T171" s="18">
        <v>242.397682331868</v>
      </c>
      <c r="U171" s="18">
        <v>4813.9366227114697</v>
      </c>
      <c r="V171" s="18">
        <v>17.986052785971498</v>
      </c>
      <c r="W171" s="28">
        <v>50</v>
      </c>
    </row>
    <row r="172" spans="1:23" ht="16" x14ac:dyDescent="0.2">
      <c r="A172" s="11">
        <v>3</v>
      </c>
      <c r="B172" s="18" t="s">
        <v>319</v>
      </c>
      <c r="C172" s="11" t="s">
        <v>538</v>
      </c>
      <c r="D172" s="18">
        <v>943.10079791419503</v>
      </c>
      <c r="E172" s="18">
        <v>27.093389662843901</v>
      </c>
      <c r="F172" s="18">
        <v>9.2799643752545506</v>
      </c>
      <c r="G172" s="18">
        <v>0.27440065137279102</v>
      </c>
      <c r="H172" s="18">
        <v>0.94091045667955797</v>
      </c>
      <c r="I172" s="26"/>
      <c r="J172" s="7">
        <f t="shared" si="10"/>
        <v>-210.83390512006184</v>
      </c>
      <c r="K172" s="3">
        <v>10</v>
      </c>
      <c r="L172" s="18">
        <v>0.73906849686986298</v>
      </c>
      <c r="M172" s="18">
        <v>6.9941800963828696E-3</v>
      </c>
      <c r="N172" s="18">
        <v>0.110545405144478</v>
      </c>
      <c r="O172" s="18">
        <v>3.5145641004085499E-3</v>
      </c>
      <c r="P172" s="18">
        <v>2.1268277184657101E-2</v>
      </c>
      <c r="Q172" s="18">
        <v>4.6436470232920601E-4</v>
      </c>
      <c r="R172" s="18">
        <v>0.32390699898578601</v>
      </c>
      <c r="S172" s="18">
        <v>14932.169228962701</v>
      </c>
      <c r="T172" s="18">
        <v>180.80423119238401</v>
      </c>
      <c r="U172" s="18">
        <v>4803.9061965248102</v>
      </c>
      <c r="V172" s="18">
        <v>13.3396738571039</v>
      </c>
      <c r="W172" s="28">
        <v>50</v>
      </c>
    </row>
    <row r="173" spans="1:23" ht="16" x14ac:dyDescent="0.2">
      <c r="A173" s="11">
        <v>3</v>
      </c>
      <c r="B173" s="18" t="s">
        <v>320</v>
      </c>
      <c r="C173" s="11" t="s">
        <v>539</v>
      </c>
      <c r="D173" s="18">
        <v>606.73341859776701</v>
      </c>
      <c r="E173" s="18">
        <v>19.0793430568704</v>
      </c>
      <c r="F173" s="18">
        <v>6.0553053220466904</v>
      </c>
      <c r="G173" s="18">
        <v>0.19064402037154399</v>
      </c>
      <c r="H173" s="18">
        <v>0.89643974436030505</v>
      </c>
      <c r="I173" s="24"/>
      <c r="J173" s="7">
        <f t="shared" si="10"/>
        <v>-163.40019137735317</v>
      </c>
      <c r="K173" s="3">
        <v>10</v>
      </c>
      <c r="L173" s="18">
        <v>0.72905895277608901</v>
      </c>
      <c r="M173" s="18">
        <v>1.1214824450606E-2</v>
      </c>
      <c r="N173" s="18">
        <v>0.16989659987835401</v>
      </c>
      <c r="O173" s="18">
        <v>5.5919306293378901E-3</v>
      </c>
      <c r="P173" s="18">
        <v>5.1771716332060298E-2</v>
      </c>
      <c r="Q173" s="18">
        <v>2.18364592419744E-3</v>
      </c>
      <c r="R173" s="18">
        <v>0.25254132868876999</v>
      </c>
      <c r="S173" s="18">
        <v>12555.0001718203</v>
      </c>
      <c r="T173" s="18">
        <v>183.932815678661</v>
      </c>
      <c r="U173" s="18">
        <v>4766.5114084270799</v>
      </c>
      <c r="V173" s="18">
        <v>20.376399199674498</v>
      </c>
      <c r="W173" s="28">
        <v>50</v>
      </c>
    </row>
    <row r="174" spans="1:23" ht="16" x14ac:dyDescent="0.2">
      <c r="A174" s="11">
        <v>3</v>
      </c>
      <c r="B174" s="18" t="s">
        <v>355</v>
      </c>
      <c r="C174" s="11" t="s">
        <v>540</v>
      </c>
      <c r="D174" s="18">
        <v>786.16020360943003</v>
      </c>
      <c r="E174" s="18">
        <v>29.621715873444298</v>
      </c>
      <c r="F174" s="18">
        <v>6.3819772881728998</v>
      </c>
      <c r="G174" s="18">
        <v>0.226298310878116</v>
      </c>
      <c r="H174" s="18">
        <v>0.95487955141389602</v>
      </c>
      <c r="I174" s="24"/>
      <c r="J174" s="7">
        <f t="shared" si="10"/>
        <v>-158.78191491629937</v>
      </c>
      <c r="K174" s="3">
        <v>10</v>
      </c>
      <c r="L174" s="18">
        <v>0.89077637891291495</v>
      </c>
      <c r="M174" s="18">
        <v>9.2558932369237994E-3</v>
      </c>
      <c r="N174" s="18">
        <v>0.16032134411937601</v>
      </c>
      <c r="O174" s="18">
        <v>6.2288049852053801E-3</v>
      </c>
      <c r="P174" s="18">
        <v>0.16214077492609699</v>
      </c>
      <c r="Q174" s="18">
        <v>5.2376950601924297E-3</v>
      </c>
      <c r="R174" s="18">
        <v>-0.179786930208685</v>
      </c>
      <c r="S174" s="18">
        <v>12818.1308282645</v>
      </c>
      <c r="T174" s="18">
        <v>206.89494376253401</v>
      </c>
      <c r="U174" s="18">
        <v>4953.2560389354903</v>
      </c>
      <c r="V174" s="18">
        <v>12.6938626066336</v>
      </c>
      <c r="W174" s="28">
        <v>50</v>
      </c>
    </row>
    <row r="175" spans="1:23" ht="16" x14ac:dyDescent="0.2">
      <c r="A175" s="11">
        <v>3</v>
      </c>
      <c r="B175" s="18" t="s">
        <v>321</v>
      </c>
      <c r="C175" s="11" t="s">
        <v>541</v>
      </c>
      <c r="D175" s="18">
        <v>38.764455065572697</v>
      </c>
      <c r="E175" s="18">
        <v>1.2804842970439101</v>
      </c>
      <c r="F175" s="18">
        <v>0.53670478576250502</v>
      </c>
      <c r="G175" s="18">
        <v>1.4711516071326499E-2</v>
      </c>
      <c r="H175" s="18">
        <v>0.79068367689385899</v>
      </c>
      <c r="I175" s="24"/>
      <c r="J175" s="7">
        <f t="shared" si="10"/>
        <v>35.805447857139406</v>
      </c>
      <c r="K175" s="3">
        <v>10</v>
      </c>
      <c r="L175" s="18">
        <v>0.52426490475209697</v>
      </c>
      <c r="M175" s="18">
        <v>1.0699222154169999E-2</v>
      </c>
      <c r="N175" s="18">
        <v>1.90477366661742</v>
      </c>
      <c r="O175" s="18">
        <v>4.7374381922020002E-2</v>
      </c>
      <c r="P175" s="18">
        <v>0.60064065693000701</v>
      </c>
      <c r="Q175" s="18">
        <v>1.6562267141515801E-2</v>
      </c>
      <c r="R175" s="18">
        <v>8.8662820533203804E-2</v>
      </c>
      <c r="S175" s="18">
        <v>2759.6824741149599</v>
      </c>
      <c r="T175" s="18">
        <v>60.3303102027417</v>
      </c>
      <c r="U175" s="18">
        <v>4298.9356292625498</v>
      </c>
      <c r="V175" s="18">
        <v>29.714817869269201</v>
      </c>
      <c r="W175" s="28">
        <v>50</v>
      </c>
    </row>
    <row r="176" spans="1:23" ht="16" x14ac:dyDescent="0.2">
      <c r="A176" s="11">
        <v>3</v>
      </c>
      <c r="B176" s="18" t="s">
        <v>322</v>
      </c>
      <c r="C176" s="11" t="s">
        <v>542</v>
      </c>
      <c r="D176" s="18">
        <v>1270.9668675752901</v>
      </c>
      <c r="E176" s="18">
        <v>37.551839620788797</v>
      </c>
      <c r="F176" s="18">
        <v>12.690838666956299</v>
      </c>
      <c r="G176" s="18">
        <v>0.37097830014644101</v>
      </c>
      <c r="H176" s="18">
        <v>0.91072389777203699</v>
      </c>
      <c r="I176" s="24"/>
      <c r="J176" s="7">
        <f t="shared" si="10"/>
        <v>-251.38495030838146</v>
      </c>
      <c r="K176" s="3">
        <v>10</v>
      </c>
      <c r="L176" s="18">
        <v>0.72733440551827</v>
      </c>
      <c r="M176" s="18">
        <v>8.5526421458801093E-3</v>
      </c>
      <c r="N176" s="18">
        <v>8.1064647591622602E-2</v>
      </c>
      <c r="O176" s="18">
        <v>2.2793062457097499E-3</v>
      </c>
      <c r="P176" s="18">
        <v>6.5462325451164594E-2</v>
      </c>
      <c r="Q176" s="18">
        <v>4.0983234171006397E-3</v>
      </c>
      <c r="R176" s="18">
        <v>0.110004923545769</v>
      </c>
      <c r="S176" s="18">
        <v>16784.633053551301</v>
      </c>
      <c r="T176" s="18">
        <v>171.12183873986001</v>
      </c>
      <c r="U176" s="18">
        <v>4776.7080060830203</v>
      </c>
      <c r="V176" s="18">
        <v>15.3516923249763</v>
      </c>
      <c r="W176" s="28">
        <v>50</v>
      </c>
    </row>
    <row r="177" spans="1:23" ht="16" x14ac:dyDescent="0.2">
      <c r="A177" s="11">
        <v>3</v>
      </c>
      <c r="B177" s="18" t="s">
        <v>323</v>
      </c>
      <c r="C177" s="11" t="s">
        <v>543</v>
      </c>
      <c r="D177" s="18">
        <v>1099.3384305076199</v>
      </c>
      <c r="E177" s="18">
        <v>41.455459634626102</v>
      </c>
      <c r="F177" s="18">
        <v>10.7124641303988</v>
      </c>
      <c r="G177" s="18">
        <v>0.38815098219119298</v>
      </c>
      <c r="H177" s="18">
        <v>0.95094356831871096</v>
      </c>
      <c r="I177" s="26"/>
      <c r="J177" s="7">
        <f t="shared" si="10"/>
        <v>-227.56676165020724</v>
      </c>
      <c r="K177" s="3">
        <v>10</v>
      </c>
      <c r="L177" s="18">
        <v>0.74525133853468595</v>
      </c>
      <c r="M177" s="18">
        <v>1.08831755789916E-2</v>
      </c>
      <c r="N177" s="18">
        <v>9.5768309910915103E-2</v>
      </c>
      <c r="O177" s="18">
        <v>3.4989911569288201E-3</v>
      </c>
      <c r="P177" s="18">
        <v>1.4286270993342899E-2</v>
      </c>
      <c r="Q177" s="18">
        <v>7.1799175486827495E-4</v>
      </c>
      <c r="R177" s="18">
        <v>0.25635312704876201</v>
      </c>
      <c r="S177" s="18">
        <v>15729.483134231599</v>
      </c>
      <c r="T177" s="18">
        <v>219.80551779360701</v>
      </c>
      <c r="U177" s="18">
        <v>4801.9167314137803</v>
      </c>
      <c r="V177" s="18">
        <v>15.4541007972151</v>
      </c>
      <c r="W177" s="28">
        <v>50</v>
      </c>
    </row>
    <row r="178" spans="1:23" ht="16" x14ac:dyDescent="0.2">
      <c r="A178" s="11">
        <v>3</v>
      </c>
      <c r="B178" s="18" t="s">
        <v>324</v>
      </c>
      <c r="C178" s="11" t="s">
        <v>544</v>
      </c>
      <c r="D178" s="18">
        <v>6.8357066389429599</v>
      </c>
      <c r="E178" s="18">
        <v>0.10463198609628301</v>
      </c>
      <c r="F178" s="18">
        <v>0.39199096615936901</v>
      </c>
      <c r="G178" s="18">
        <v>3.89040738915231E-3</v>
      </c>
      <c r="H178" s="18">
        <v>0.19015088207353101</v>
      </c>
      <c r="I178" s="24"/>
      <c r="J178" s="7">
        <f t="shared" si="10"/>
        <v>-4.3605035037112216</v>
      </c>
      <c r="K178" s="3">
        <v>0</v>
      </c>
      <c r="L178" s="18">
        <v>0.12681075480005499</v>
      </c>
      <c r="M178" s="18">
        <v>2.1580103470801E-3</v>
      </c>
      <c r="N178" s="18">
        <v>2.5536165642822901</v>
      </c>
      <c r="O178" s="18">
        <v>2.6162726058527201E-2</v>
      </c>
      <c r="P178" s="18">
        <v>1.8686496871543901</v>
      </c>
      <c r="Q178" s="18">
        <v>2.3089971853058801E-2</v>
      </c>
      <c r="R178" s="18">
        <v>0.432591470733941</v>
      </c>
      <c r="S178" s="18">
        <v>2131.1364839733501</v>
      </c>
      <c r="T178" s="18">
        <v>18.015196138968001</v>
      </c>
      <c r="U178" s="18">
        <v>2042.0910329333201</v>
      </c>
      <c r="V178" s="18">
        <v>30.364841467106299</v>
      </c>
      <c r="W178" s="28">
        <v>50</v>
      </c>
    </row>
    <row r="179" spans="1:23" ht="16" x14ac:dyDescent="0.2">
      <c r="A179" s="11">
        <v>3</v>
      </c>
      <c r="B179" s="18" t="s">
        <v>325</v>
      </c>
      <c r="C179" s="11" t="s">
        <v>545</v>
      </c>
      <c r="D179" s="18">
        <v>3.1541498506339001</v>
      </c>
      <c r="E179" s="18">
        <v>4.70164644658803E-2</v>
      </c>
      <c r="F179" s="18">
        <v>0.25154881572117999</v>
      </c>
      <c r="G179" s="18">
        <v>2.3337920293303401E-3</v>
      </c>
      <c r="H179" s="18">
        <v>0.31543913041562999</v>
      </c>
      <c r="I179" s="24"/>
      <c r="J179" s="7">
        <f t="shared" si="10"/>
        <v>-0.85923787505159943</v>
      </c>
      <c r="K179" s="3">
        <v>0</v>
      </c>
      <c r="L179" s="18">
        <v>9.0992872323906501E-2</v>
      </c>
      <c r="M179" s="18">
        <v>1.4983342995899601E-3</v>
      </c>
      <c r="N179" s="18">
        <v>3.97699103247276</v>
      </c>
      <c r="O179" s="18">
        <v>3.57954252203984E-2</v>
      </c>
      <c r="P179" s="18">
        <v>1.10204390065998</v>
      </c>
      <c r="Q179" s="18">
        <v>3.3305448330167901E-2</v>
      </c>
      <c r="R179" s="18">
        <v>0.39635194191888301</v>
      </c>
      <c r="S179" s="18">
        <v>1446.0491877473301</v>
      </c>
      <c r="T179" s="18">
        <v>12.021486457589299</v>
      </c>
      <c r="U179" s="18">
        <v>1433.73003624988</v>
      </c>
      <c r="V179" s="18">
        <v>31.4430427671358</v>
      </c>
      <c r="W179" s="28">
        <v>50</v>
      </c>
    </row>
    <row r="180" spans="1:23" ht="16" x14ac:dyDescent="0.2">
      <c r="A180" s="11">
        <v>3</v>
      </c>
      <c r="B180" s="18" t="s">
        <v>356</v>
      </c>
      <c r="C180" s="11" t="s">
        <v>546</v>
      </c>
      <c r="D180" s="18">
        <v>2229.2323215484298</v>
      </c>
      <c r="E180" s="18">
        <v>81.283672901124902</v>
      </c>
      <c r="F180" s="18">
        <v>21.534381522728399</v>
      </c>
      <c r="G180" s="18">
        <v>0.75903735900512903</v>
      </c>
      <c r="H180" s="18">
        <v>0.97237089165742097</v>
      </c>
      <c r="I180" s="24"/>
      <c r="J180" s="7">
        <f t="shared" si="10"/>
        <v>-313.32193958678226</v>
      </c>
      <c r="K180" s="3">
        <v>10</v>
      </c>
      <c r="L180" s="18">
        <v>0.75055056461650305</v>
      </c>
      <c r="M180" s="18">
        <v>5.9452432771726002E-3</v>
      </c>
      <c r="N180" s="18">
        <v>4.8578381213697903E-2</v>
      </c>
      <c r="O180" s="18">
        <v>1.7764596514286801E-3</v>
      </c>
      <c r="P180" s="18">
        <v>1.3706586957190301E-2</v>
      </c>
      <c r="Q180" s="18">
        <v>4.64553576366884E-4</v>
      </c>
      <c r="R180" s="18">
        <v>-3.1265109524840802E-2</v>
      </c>
      <c r="S180" s="18">
        <v>19946.268726394901</v>
      </c>
      <c r="T180" s="18">
        <v>219.321474589069</v>
      </c>
      <c r="U180" s="18">
        <v>4825.8432025979901</v>
      </c>
      <c r="V180" s="18">
        <v>10.8985319690363</v>
      </c>
      <c r="W180" s="28">
        <v>50</v>
      </c>
    </row>
    <row r="181" spans="1:23" ht="16" x14ac:dyDescent="0.2">
      <c r="A181" s="11">
        <v>3</v>
      </c>
      <c r="B181" s="18" t="s">
        <v>357</v>
      </c>
      <c r="C181" s="11" t="s">
        <v>547</v>
      </c>
      <c r="D181" s="18">
        <v>-11070.262938165501</v>
      </c>
      <c r="E181" s="18">
        <v>21943.007137433</v>
      </c>
      <c r="F181" s="18">
        <v>-245.79997872121999</v>
      </c>
      <c r="G181" s="18">
        <v>436.038006851928</v>
      </c>
      <c r="H181" s="18">
        <v>0.81920973315930701</v>
      </c>
      <c r="I181" s="24"/>
      <c r="J181" s="7">
        <f t="shared" si="10"/>
        <v>-488.84336433591892</v>
      </c>
      <c r="K181" s="3">
        <v>10</v>
      </c>
      <c r="L181" s="18">
        <v>-0.71332678389252901</v>
      </c>
      <c r="M181" s="18">
        <v>0.48593947633201001</v>
      </c>
      <c r="N181" s="18">
        <v>1.9652626549518899E-2</v>
      </c>
      <c r="O181" s="18">
        <v>1.71956668118134E-2</v>
      </c>
      <c r="P181" s="18">
        <v>4.9897163338762401E-2</v>
      </c>
      <c r="Q181" s="18">
        <v>9.9862922863215801E-3</v>
      </c>
      <c r="R181" s="18">
        <v>-0.104009110003688</v>
      </c>
      <c r="S181" s="18">
        <v>27303.098640536198</v>
      </c>
      <c r="T181" s="18">
        <v>2298.9768318729298</v>
      </c>
      <c r="U181" s="18">
        <v>4636.7336874599696</v>
      </c>
      <c r="V181" s="18">
        <v>1.0472410542068999</v>
      </c>
      <c r="W181" s="28">
        <v>50</v>
      </c>
    </row>
    <row r="182" spans="1:23" ht="16" x14ac:dyDescent="0.2">
      <c r="H182" s="26"/>
      <c r="I182" s="26"/>
    </row>
    <row r="183" spans="1:23" ht="16" x14ac:dyDescent="0.2">
      <c r="H183" s="24"/>
      <c r="I183" s="24"/>
    </row>
    <row r="184" spans="1:23" ht="16" x14ac:dyDescent="0.2">
      <c r="H184" s="24"/>
      <c r="I184" s="24"/>
    </row>
    <row r="185" spans="1:23" ht="16" x14ac:dyDescent="0.2">
      <c r="H185" s="24"/>
      <c r="I185" s="24"/>
    </row>
    <row r="186" spans="1:23" ht="16" x14ac:dyDescent="0.2">
      <c r="H186" s="24"/>
      <c r="I186" s="24"/>
    </row>
    <row r="187" spans="1:23" ht="16" x14ac:dyDescent="0.2">
      <c r="H187" s="26"/>
      <c r="I187" s="26"/>
    </row>
    <row r="188" spans="1:23" ht="16" x14ac:dyDescent="0.2">
      <c r="H188" s="24"/>
      <c r="I188" s="24"/>
    </row>
    <row r="189" spans="1:23" ht="16" x14ac:dyDescent="0.2">
      <c r="H189" s="24"/>
      <c r="I189" s="24"/>
    </row>
    <row r="190" spans="1:23" ht="16" x14ac:dyDescent="0.2">
      <c r="H190" s="24"/>
      <c r="I190" s="24"/>
    </row>
    <row r="191" spans="1:23" ht="16" x14ac:dyDescent="0.2">
      <c r="H191" s="24"/>
      <c r="I191" s="24"/>
    </row>
    <row r="192" spans="1:23" ht="16" x14ac:dyDescent="0.2">
      <c r="H192" s="24"/>
      <c r="I192" s="24"/>
    </row>
    <row r="193" spans="8:9" ht="16" x14ac:dyDescent="0.2">
      <c r="H193" s="24"/>
      <c r="I193" s="24"/>
    </row>
    <row r="194" spans="8:9" ht="16" x14ac:dyDescent="0.2">
      <c r="H194" s="24"/>
      <c r="I194" s="24"/>
    </row>
    <row r="195" spans="8:9" ht="16" x14ac:dyDescent="0.2">
      <c r="H195" s="24"/>
      <c r="I195" s="24"/>
    </row>
    <row r="196" spans="8:9" ht="16" x14ac:dyDescent="0.2">
      <c r="H196" s="24"/>
      <c r="I196" s="24"/>
    </row>
    <row r="197" spans="8:9" ht="16" x14ac:dyDescent="0.2">
      <c r="H197" s="24"/>
      <c r="I197" s="24"/>
    </row>
    <row r="198" spans="8:9" ht="16" x14ac:dyDescent="0.2">
      <c r="H198" s="24"/>
      <c r="I198" s="24"/>
    </row>
    <row r="199" spans="8:9" ht="16" x14ac:dyDescent="0.2">
      <c r="H199" s="24"/>
      <c r="I199" s="24"/>
    </row>
    <row r="200" spans="8:9" ht="16" x14ac:dyDescent="0.2">
      <c r="H200" s="24"/>
      <c r="I200" s="24"/>
    </row>
    <row r="201" spans="8:9" ht="16" x14ac:dyDescent="0.2">
      <c r="H201" s="24"/>
      <c r="I201" s="24"/>
    </row>
    <row r="202" spans="8:9" ht="16" x14ac:dyDescent="0.2">
      <c r="H202" s="24"/>
      <c r="I202" s="24"/>
    </row>
    <row r="203" spans="8:9" ht="16" x14ac:dyDescent="0.2">
      <c r="H203" s="26"/>
      <c r="I203" s="26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Data_1</vt:lpstr>
      <vt:lpstr>Data_2</vt:lpstr>
      <vt:lpstr>Data_3</vt:lpstr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Peak</dc:creator>
  <cp:lastModifiedBy>Barra Peak</cp:lastModifiedBy>
  <dcterms:created xsi:type="dcterms:W3CDTF">2024-02-09T15:59:24Z</dcterms:created>
  <dcterms:modified xsi:type="dcterms:W3CDTF">2024-06-18T17:25:21Z</dcterms:modified>
</cp:coreProperties>
</file>